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_analytics_Abderrahim\Excel\"/>
    </mc:Choice>
  </mc:AlternateContent>
  <xr:revisionPtr revIDLastSave="0" documentId="13_ncr:1_{F0ED30FF-7433-49F4-B1AE-05700C1BF8F3}" xr6:coauthVersionLast="47" xr6:coauthVersionMax="47" xr10:uidLastSave="{00000000-0000-0000-0000-000000000000}"/>
  <bookViews>
    <workbookView xWindow="-110" yWindow="-110" windowWidth="19420" windowHeight="10300" activeTab="3" xr2:uid="{45B37A54-CE06-475C-968A-23C7F9F29920}"/>
  </bookViews>
  <sheets>
    <sheet name="Database Functions" sheetId="4" r:id="rId1"/>
    <sheet name="Data" sheetId="1" r:id="rId2"/>
    <sheet name="Pivot_1" sheetId="3" r:id="rId3"/>
    <sheet name="ExampleS" sheetId="2" r:id="rId4"/>
  </sheet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14" i="2" l="1"/>
  <c r="AN14" i="2"/>
  <c r="AL14" i="2"/>
  <c r="AK14" i="2"/>
  <c r="AJ14" i="2"/>
  <c r="AH14" i="2"/>
  <c r="AI14" i="2"/>
  <c r="AE9" i="2"/>
  <c r="AD9" i="2"/>
  <c r="AC9" i="2"/>
  <c r="AB9" i="2"/>
  <c r="AA9" i="2"/>
  <c r="Y9" i="2"/>
  <c r="X9" i="2"/>
  <c r="W9" i="2"/>
  <c r="V9" i="2"/>
  <c r="U9" i="2"/>
  <c r="S9" i="2"/>
  <c r="R9" i="2"/>
  <c r="Q9" i="2"/>
  <c r="P9" i="2"/>
  <c r="O9" i="2"/>
  <c r="M9" i="2"/>
  <c r="L9" i="2"/>
  <c r="K9" i="2"/>
  <c r="J9" i="2"/>
  <c r="I9" i="2"/>
  <c r="G9" i="2"/>
</calcChain>
</file>

<file path=xl/sharedStrings.xml><?xml version="1.0" encoding="utf-8"?>
<sst xmlns="http://schemas.openxmlformats.org/spreadsheetml/2006/main" count="605" uniqueCount="105">
  <si>
    <t>Type</t>
  </si>
  <si>
    <t>Date</t>
  </si>
  <si>
    <t>Invoice</t>
  </si>
  <si>
    <t>Name</t>
  </si>
  <si>
    <t>Amount</t>
  </si>
  <si>
    <t>Level 1</t>
  </si>
  <si>
    <t>Poole</t>
  </si>
  <si>
    <t>Davis</t>
  </si>
  <si>
    <t>Crowther</t>
  </si>
  <si>
    <t>Maze</t>
  </si>
  <si>
    <t>Park</t>
  </si>
  <si>
    <t>Waterson</t>
  </si>
  <si>
    <t>Dune</t>
  </si>
  <si>
    <t>Level 2</t>
  </si>
  <si>
    <t>Bryant</t>
  </si>
  <si>
    <t>Carver</t>
  </si>
  <si>
    <t>Blythe</t>
  </si>
  <si>
    <t>Porter</t>
  </si>
  <si>
    <t>Blair</t>
  </si>
  <si>
    <t>Boyden</t>
  </si>
  <si>
    <t>Hayden</t>
  </si>
  <si>
    <t>Wilson</t>
  </si>
  <si>
    <t>Level 3</t>
  </si>
  <si>
    <t>Level 4</t>
  </si>
  <si>
    <t>Level 8</t>
  </si>
  <si>
    <t>Constable</t>
  </si>
  <si>
    <t>Stuart</t>
  </si>
  <si>
    <t>Polter</t>
  </si>
  <si>
    <t>Level 7</t>
  </si>
  <si>
    <t>Atkins</t>
  </si>
  <si>
    <t>Norris</t>
  </si>
  <si>
    <t>Arthur</t>
  </si>
  <si>
    <t>Level 6</t>
  </si>
  <si>
    <t>Craig</t>
  </si>
  <si>
    <t>Howard</t>
  </si>
  <si>
    <t>Soul</t>
  </si>
  <si>
    <t>Simpson</t>
  </si>
  <si>
    <t>Roberts</t>
  </si>
  <si>
    <t>Murray</t>
  </si>
  <si>
    <t>Peterson</t>
  </si>
  <si>
    <t>Barney</t>
  </si>
  <si>
    <t>Level 9</t>
  </si>
  <si>
    <t>Level 5</t>
  </si>
  <si>
    <t>Martin</t>
  </si>
  <si>
    <t>Carter</t>
  </si>
  <si>
    <t>Garrison</t>
  </si>
  <si>
    <t>Syntax: =DSUM(database, field, criteria)</t>
  </si>
  <si>
    <t>Multiple AND Criteria</t>
  </si>
  <si>
    <t>Example 1</t>
  </si>
  <si>
    <t>Single Criteria</t>
  </si>
  <si>
    <t>Example 2</t>
  </si>
  <si>
    <t>&gt;=01/01/2021</t>
  </si>
  <si>
    <t>&lt;=31/03/2021</t>
  </si>
  <si>
    <t>Example 3</t>
  </si>
  <si>
    <t>Multiple OR Criteria - Same Field</t>
  </si>
  <si>
    <t>Example 4</t>
  </si>
  <si>
    <t>Multiple AND OR Criteria</t>
  </si>
  <si>
    <t>Example 5</t>
  </si>
  <si>
    <t>Multiple OR Criteria - Different Field</t>
  </si>
  <si>
    <t>&lt;&gt;Atkins</t>
  </si>
  <si>
    <t>Example 6</t>
  </si>
  <si>
    <t>Wildcards</t>
  </si>
  <si>
    <t>B*</t>
  </si>
  <si>
    <t>Example 7</t>
  </si>
  <si>
    <t>DGET</t>
  </si>
  <si>
    <t>DSUM</t>
  </si>
  <si>
    <t>DCOUNT</t>
  </si>
  <si>
    <t>DAVERAGE</t>
  </si>
  <si>
    <t>DMAX</t>
  </si>
  <si>
    <t>DMIN</t>
  </si>
  <si>
    <t>Row Labels</t>
  </si>
  <si>
    <t>Grand Total</t>
  </si>
  <si>
    <t>Sum of Amount</t>
  </si>
  <si>
    <t>Column Labels</t>
  </si>
  <si>
    <r>
      <t xml:space="preserve">🧠 </t>
    </r>
    <r>
      <rPr>
        <b/>
        <sz val="18"/>
        <color theme="1"/>
        <rFont val="Calibri"/>
        <family val="2"/>
        <scheme val="minor"/>
      </rPr>
      <t>What are Database Functions in Excel?</t>
    </r>
    <r>
      <rPr>
        <sz val="11"/>
        <color theme="1"/>
        <rFont val="Calibri"/>
        <family val="2"/>
        <scheme val="minor"/>
      </rPr>
      <t xml:space="preserve">
Excel treats a table like a mini database:
Columns = Fields (like SQL columns)
Rows = Records (like SQL rows)
Database functions let you:
Apply aggregation (SUM, AVG, COUNT, etc.) with conditions using a separate criteria table.</t>
    </r>
  </si>
  <si>
    <t>1. Criteria Table Logic</t>
  </si>
  <si>
    <t>Row</t>
  </si>
  <si>
    <t>Logic</t>
  </si>
  <si>
    <t>Same row</t>
  </si>
  <si>
    <t>AND</t>
  </si>
  <si>
    <t>Different rows</t>
  </si>
  <si>
    <t>OR</t>
  </si>
  <si>
    <t>2. Blank Means “Ignore”</t>
  </si>
  <si>
    <t>If a field is blank in criteria → it is NOT filtered.</t>
  </si>
  <si>
    <t>✅ Use When:</t>
  </si>
  <si>
    <t>1. Dynamic Multi-condition Filtering (Without Complex Formulas)</t>
  </si>
  <si>
    <t>2. OR Conditions (Big Advantage)</t>
  </si>
  <si>
    <t>3. User-driven Reports / Dashboards</t>
  </si>
  <si>
    <t>Let user edit criteria cells</t>
  </si>
  <si>
    <t>Output updates automatically</t>
  </si>
  <si>
    <t>4. Cleaner Logic for Non-technical Users</t>
  </si>
  <si>
    <t>Criteria table is visual → easy to understand</t>
  </si>
  <si>
    <t>AND Logic</t>
  </si>
  <si>
    <t>OR Logic</t>
  </si>
  <si>
    <t>Use</t>
  </si>
  <si>
    <t>To find</t>
  </si>
  <si>
    <t>? (question mark)</t>
  </si>
  <si>
    <t>Any single character</t>
  </si>
  <si>
    <t>For example, sm?th finds "smith" and "smyth"</t>
  </si>
  <si>
    <t>* (asterisk)</t>
  </si>
  <si>
    <t>Any number of characters</t>
  </si>
  <si>
    <t>For example, *east finds "Northeast" and "Southeast"</t>
  </si>
  <si>
    <t>~ (tilde) followed by ?, *, or ~</t>
  </si>
  <si>
    <t>A question mark, asterisk, or tilde</t>
  </si>
  <si>
    <t>For example, fy06~? finds "fy06?"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</si>
</sst>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 #,##0_ ;_ * \-#,##0_ ;_ * &quot;-&quot;??_ ;_ @_ "/>
  </numFmts>
  <fonts count="11" x14ac:knownFonts="1">
    <font>
      <sz val="11"/>
      <color theme="1"/>
      <name val="Calibri"/>
      <family val="2"/>
      <scheme val="minor"/>
    </font>
    <font>
      <b/>
      <sz val="11"/>
      <color theme="0"/>
      <name val="Calibri"/>
      <family val="2"/>
      <scheme val="minor"/>
    </font>
    <font>
      <b/>
      <sz val="11"/>
      <color theme="1"/>
      <name val="Calibri"/>
      <family val="2"/>
      <scheme val="minor"/>
    </font>
    <font>
      <i/>
      <sz val="11"/>
      <color theme="4" tint="-0.499984740745262"/>
      <name val="Calibri"/>
      <family val="2"/>
      <scheme val="minor"/>
    </font>
    <font>
      <i/>
      <sz val="11"/>
      <color theme="1"/>
      <name val="Calibri"/>
      <family val="2"/>
      <scheme val="minor"/>
    </font>
    <font>
      <b/>
      <sz val="18"/>
      <color theme="1"/>
      <name val="Calibri"/>
      <family val="2"/>
      <scheme val="minor"/>
    </font>
    <font>
      <b/>
      <sz val="13.5"/>
      <color theme="1"/>
      <name val="Calibri"/>
      <family val="2"/>
      <scheme val="minor"/>
    </font>
    <font>
      <sz val="11"/>
      <color theme="1"/>
      <name val="Calibri"/>
      <family val="2"/>
      <scheme val="minor"/>
    </font>
    <font>
      <b/>
      <i/>
      <sz val="12"/>
      <color theme="1"/>
      <name val="Calibri"/>
      <family val="2"/>
      <scheme val="minor"/>
    </font>
    <font>
      <b/>
      <sz val="10"/>
      <color rgb="FF393939"/>
      <name val="Segoe UI"/>
      <family val="2"/>
    </font>
    <font>
      <sz val="10"/>
      <color rgb="FF1E1E1E"/>
      <name val="Segoe UI"/>
      <family val="2"/>
    </font>
  </fonts>
  <fills count="8">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CC99FF"/>
        <bgColor indexed="64"/>
      </patternFill>
    </fill>
    <fill>
      <patternFill patternType="solid">
        <fgColor rgb="FFDADADA"/>
        <bgColor indexed="64"/>
      </patternFill>
    </fill>
    <fill>
      <patternFill patternType="solid">
        <fgColor rgb="FFF4F4F4"/>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rgb="FFCCCCCC"/>
      </top>
      <bottom style="medium">
        <color rgb="FFCCCCCC"/>
      </bottom>
      <diagonal/>
    </border>
    <border>
      <left/>
      <right/>
      <top style="medium">
        <color rgb="FFCCCCCC"/>
      </top>
      <bottom/>
      <diagonal/>
    </border>
    <border>
      <left/>
      <right/>
      <top/>
      <bottom style="medium">
        <color rgb="FFCCCCCC"/>
      </bottom>
      <diagonal/>
    </border>
  </borders>
  <cellStyleXfs count="2">
    <xf numFmtId="0" fontId="0" fillId="0" borderId="0"/>
    <xf numFmtId="43" fontId="7" fillId="0" borderId="0" applyFont="0" applyFill="0" applyBorder="0" applyAlignment="0" applyProtection="0"/>
  </cellStyleXfs>
  <cellXfs count="32">
    <xf numFmtId="0" fontId="0" fillId="0" borderId="0" xfId="0"/>
    <xf numFmtId="0" fontId="3" fillId="0" borderId="0" xfId="0" applyFont="1"/>
    <xf numFmtId="0" fontId="1" fillId="2" borderId="0" xfId="0" applyFont="1" applyFill="1" applyAlignment="1">
      <alignment horizontal="left"/>
    </xf>
    <xf numFmtId="0" fontId="0" fillId="3" borderId="1" xfId="0" applyFill="1" applyBorder="1" applyAlignment="1">
      <alignment horizontal="left"/>
    </xf>
    <xf numFmtId="0" fontId="0" fillId="4" borderId="0" xfId="0" applyFill="1"/>
    <xf numFmtId="0" fontId="4" fillId="0" borderId="0" xfId="0" applyFont="1"/>
    <xf numFmtId="0" fontId="1" fillId="2" borderId="0" xfId="0" applyFont="1" applyFill="1" applyAlignment="1">
      <alignment horizontal="centerContinuous"/>
    </xf>
    <xf numFmtId="0" fontId="0" fillId="3" borderId="1" xfId="0" applyFill="1" applyBorder="1" applyAlignment="1">
      <alignment horizontal="center"/>
    </xf>
    <xf numFmtId="0" fontId="0" fillId="4" borderId="0" xfId="0" applyFill="1" applyAlignment="1">
      <alignment horizontal="center"/>
    </xf>
    <xf numFmtId="0" fontId="0" fillId="0" borderId="0" xfId="0" pivotButton="1"/>
    <xf numFmtId="0" fontId="0" fillId="0" borderId="0" xfId="0" applyAlignment="1">
      <alignment horizontal="left"/>
    </xf>
    <xf numFmtId="0" fontId="0" fillId="0" borderId="0" xfId="0" applyAlignment="1">
      <alignment wrapText="1"/>
    </xf>
    <xf numFmtId="0" fontId="5" fillId="0" borderId="0" xfId="0" applyFont="1" applyAlignment="1">
      <alignment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6" fillId="0" borderId="0" xfId="0" applyFont="1" applyAlignment="1">
      <alignment vertical="center"/>
    </xf>
    <xf numFmtId="0" fontId="0" fillId="0" borderId="0" xfId="0" applyAlignment="1">
      <alignment horizontal="left" vertical="center" indent="1"/>
    </xf>
    <xf numFmtId="0" fontId="0" fillId="0" borderId="0" xfId="0" applyAlignment="1">
      <alignment horizontal="center" wrapText="1"/>
    </xf>
    <xf numFmtId="0" fontId="8" fillId="0" borderId="0" xfId="0" applyFont="1"/>
    <xf numFmtId="0" fontId="2" fillId="5" borderId="2" xfId="0" applyFont="1" applyFill="1" applyBorder="1" applyAlignment="1">
      <alignment horizontal="center" vertical="center"/>
    </xf>
    <xf numFmtId="0" fontId="0" fillId="0" borderId="0" xfId="0" applyAlignment="1">
      <alignment horizontal="center" vertical="center"/>
    </xf>
    <xf numFmtId="165" fontId="0" fillId="0" borderId="2" xfId="1" applyNumberFormat="1" applyFont="1" applyBorder="1" applyAlignment="1">
      <alignment horizontal="center" vertical="center"/>
    </xf>
    <xf numFmtId="0" fontId="2" fillId="0" borderId="2" xfId="0" applyFont="1" applyFill="1" applyBorder="1" applyAlignment="1">
      <alignment horizontal="center" vertical="center"/>
    </xf>
    <xf numFmtId="0" fontId="0" fillId="0" borderId="2" xfId="0" applyBorder="1"/>
    <xf numFmtId="2" fontId="0" fillId="0" borderId="2" xfId="0" applyNumberFormat="1" applyBorder="1"/>
    <xf numFmtId="1" fontId="0" fillId="0" borderId="2" xfId="0" applyNumberFormat="1" applyBorder="1"/>
    <xf numFmtId="0" fontId="9" fillId="6" borderId="3" xfId="0" applyFont="1" applyFill="1" applyBorder="1" applyAlignment="1">
      <alignment horizontal="left" vertical="center"/>
    </xf>
    <xf numFmtId="0" fontId="10" fillId="7" borderId="4" xfId="0" applyFont="1" applyFill="1" applyBorder="1" applyAlignment="1">
      <alignment vertical="center"/>
    </xf>
    <xf numFmtId="0" fontId="10" fillId="7" borderId="4" xfId="0" applyFont="1" applyFill="1" applyBorder="1" applyAlignment="1">
      <alignment vertical="center"/>
    </xf>
    <xf numFmtId="0" fontId="10" fillId="7" borderId="5" xfId="0" applyFont="1" applyFill="1" applyBorder="1" applyAlignment="1">
      <alignment vertical="center"/>
    </xf>
    <xf numFmtId="0" fontId="10" fillId="7" borderId="5" xfId="0" applyFont="1" applyFill="1" applyBorder="1" applyAlignment="1">
      <alignment vertical="center"/>
    </xf>
    <xf numFmtId="0" fontId="0" fillId="0" borderId="0" xfId="0" applyNumberFormat="1"/>
  </cellXfs>
  <cellStyles count="2">
    <cellStyle name="Comma" xfId="1" builtinId="3"/>
    <cellStyle name="Normal" xfId="0" builtinId="0"/>
  </cellStyles>
  <dxfs count="1">
    <dxf>
      <alignment horizontal="center" vertical="center" textRotation="0" wrapText="0" indent="0" justifyLastLine="0" shrinkToFit="0" readingOrder="0"/>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26</xdr:col>
      <xdr:colOff>31750</xdr:colOff>
      <xdr:row>1</xdr:row>
      <xdr:rowOff>19050</xdr:rowOff>
    </xdr:from>
    <xdr:to>
      <xdr:col>31</xdr:col>
      <xdr:colOff>381000</xdr:colOff>
      <xdr:row>6</xdr:row>
      <xdr:rowOff>171450</xdr:rowOff>
    </xdr:to>
    <xdr:sp macro="" textlink="">
      <xdr:nvSpPr>
        <xdr:cNvPr id="3" name="Callout: Line 2">
          <a:extLst>
            <a:ext uri="{FF2B5EF4-FFF2-40B4-BE49-F238E27FC236}">
              <a16:creationId xmlns:a16="http://schemas.microsoft.com/office/drawing/2014/main" id="{46FFF009-2576-ACA5-4587-47EEAE79A900}"/>
            </a:ext>
          </a:extLst>
        </xdr:cNvPr>
        <xdr:cNvSpPr/>
      </xdr:nvSpPr>
      <xdr:spPr>
        <a:xfrm>
          <a:off x="16865600" y="203200"/>
          <a:ext cx="3397250" cy="1073150"/>
        </a:xfrm>
        <a:prstGeom prst="border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a:solidFill>
                <a:schemeClr val="lt1"/>
              </a:solidFill>
              <a:effectLst/>
              <a:latin typeface="+mn-lt"/>
              <a:ea typeface="+mn-ea"/>
              <a:cs typeface="+mn-cs"/>
            </a:rPr>
            <a:t>        This criteria will aggregate all data which is level 1, including</a:t>
          </a:r>
          <a:r>
            <a:rPr lang="en-AU" sz="1100" baseline="0">
              <a:solidFill>
                <a:schemeClr val="lt1"/>
              </a:solidFill>
              <a:effectLst/>
              <a:latin typeface="+mn-lt"/>
              <a:ea typeface="+mn-ea"/>
              <a:cs typeface="+mn-cs"/>
            </a:rPr>
            <a:t> level 1 for Atkins (because the name field is blank on the first criteria row), plus all other levels except those that are for Atkins (because the Type field is blank on the second criteria row). </a:t>
          </a:r>
          <a:endParaRPr lang="en-IN">
            <a:effectLst/>
          </a:endParaRPr>
        </a:p>
        <a:p>
          <a:pPr algn="l"/>
          <a:endParaRPr lang="en-IN" sz="1100"/>
        </a:p>
      </xdr:txBody>
    </xdr:sp>
    <xdr:clientData/>
  </xdr:twoCellAnchor>
  <xdr:twoCellAnchor editAs="oneCell">
    <xdr:from>
      <xdr:col>26</xdr:col>
      <xdr:colOff>101600</xdr:colOff>
      <xdr:row>1</xdr:row>
      <xdr:rowOff>12700</xdr:rowOff>
    </xdr:from>
    <xdr:to>
      <xdr:col>26</xdr:col>
      <xdr:colOff>355600</xdr:colOff>
      <xdr:row>2</xdr:row>
      <xdr:rowOff>82550</xdr:rowOff>
    </xdr:to>
    <xdr:pic>
      <xdr:nvPicPr>
        <xdr:cNvPr id="5" name="Graphic 4" descr="Warning with solid fill">
          <a:extLst>
            <a:ext uri="{FF2B5EF4-FFF2-40B4-BE49-F238E27FC236}">
              <a16:creationId xmlns:a16="http://schemas.microsoft.com/office/drawing/2014/main" id="{0D49FE07-361B-684E-D557-2DFE41020A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5450" y="196850"/>
          <a:ext cx="2540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30</xdr:col>
      <xdr:colOff>12700</xdr:colOff>
      <xdr:row>0</xdr:row>
      <xdr:rowOff>0</xdr:rowOff>
    </xdr:from>
    <xdr:to>
      <xdr:col>36</xdr:col>
      <xdr:colOff>577850</xdr:colOff>
      <xdr:row>4</xdr:row>
      <xdr:rowOff>82550</xdr:rowOff>
    </xdr:to>
    <xdr:sp macro="" textlink="">
      <xdr:nvSpPr>
        <xdr:cNvPr id="3" name="Callout: Line with No Border 2">
          <a:extLst>
            <a:ext uri="{FF2B5EF4-FFF2-40B4-BE49-F238E27FC236}">
              <a16:creationId xmlns:a16="http://schemas.microsoft.com/office/drawing/2014/main" id="{C8D7BCDE-7656-96DF-0E6F-81568C731492}"/>
            </a:ext>
          </a:extLst>
        </xdr:cNvPr>
        <xdr:cNvSpPr/>
      </xdr:nvSpPr>
      <xdr:spPr>
        <a:xfrm>
          <a:off x="21329650" y="0"/>
          <a:ext cx="4222750" cy="819150"/>
        </a:xfrm>
        <a:prstGeom prst="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AU" sz="1100">
              <a:solidFill>
                <a:schemeClr val="lt1"/>
              </a:solidFill>
              <a:effectLst/>
              <a:latin typeface="+mn-lt"/>
              <a:ea typeface="+mn-ea"/>
              <a:cs typeface="+mn-cs"/>
            </a:rPr>
            <a:t>This criteria will aggregate all data which is level 1, including</a:t>
          </a:r>
          <a:r>
            <a:rPr lang="en-AU" sz="1100" baseline="0">
              <a:solidFill>
                <a:schemeClr val="lt1"/>
              </a:solidFill>
              <a:effectLst/>
              <a:latin typeface="+mn-lt"/>
              <a:ea typeface="+mn-ea"/>
              <a:cs typeface="+mn-cs"/>
            </a:rPr>
            <a:t> level 1 for Atkins (because the name field is blank on the first criteria row), plus all other levels except those that are for Atkins (because the Type field is blank on the second criteria row). </a:t>
          </a:r>
          <a:endParaRPr lang="en-IN" sz="1100"/>
        </a:p>
      </xdr:txBody>
    </xdr:sp>
    <xdr:clientData/>
  </xdr:twoCellAnchor>
  <xdr:twoCellAnchor editAs="oneCell">
    <xdr:from>
      <xdr:col>30</xdr:col>
      <xdr:colOff>12700</xdr:colOff>
      <xdr:row>0</xdr:row>
      <xdr:rowOff>0</xdr:rowOff>
    </xdr:from>
    <xdr:to>
      <xdr:col>30</xdr:col>
      <xdr:colOff>247650</xdr:colOff>
      <xdr:row>1</xdr:row>
      <xdr:rowOff>50800</xdr:rowOff>
    </xdr:to>
    <xdr:pic>
      <xdr:nvPicPr>
        <xdr:cNvPr id="5" name="Graphic 4" descr="Warning with solid fill">
          <a:extLst>
            <a:ext uri="{FF2B5EF4-FFF2-40B4-BE49-F238E27FC236}">
              <a16:creationId xmlns:a16="http://schemas.microsoft.com/office/drawing/2014/main" id="{4679B799-0C08-2A56-1778-913D3FE5E7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329650" y="0"/>
          <a:ext cx="234950" cy="2349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Upadhyay" refreshedDate="46145.922429513892" createdVersion="8" refreshedVersion="8" minRefreshableVersion="3" recordCount="66" xr:uid="{21256FF3-9EEE-4221-8F93-27277EBD4033}">
  <cacheSource type="worksheet">
    <worksheetSource name="DataTable4"/>
  </cacheSource>
  <cacheFields count="5">
    <cacheField name="Type" numFmtId="0">
      <sharedItems count="9">
        <s v="Level 1"/>
        <s v="Level 2"/>
        <s v="Level 3"/>
        <s v="Level 4"/>
        <s v="Level 8"/>
        <s v="Level 7"/>
        <s v="Level 6"/>
        <s v="Level 9"/>
        <s v="Level 5"/>
      </sharedItems>
    </cacheField>
    <cacheField name="Date" numFmtId="0">
      <sharedItems containsSemiMixedTypes="0" containsString="0" containsNumber="1" containsInteger="1" minValue="44215" maxValue="44403"/>
    </cacheField>
    <cacheField name="Invoice" numFmtId="0">
      <sharedItems containsSemiMixedTypes="0" containsString="0" containsNumber="1" containsInteger="1" minValue="546" maxValue="659"/>
    </cacheField>
    <cacheField name="Name" numFmtId="0">
      <sharedItems count="32">
        <s v="Poole"/>
        <s v="Davis"/>
        <s v="Crowther"/>
        <s v="Maze"/>
        <s v="Park"/>
        <s v="Waterson"/>
        <s v="Dune"/>
        <s v="Bryant"/>
        <s v="Carver"/>
        <s v="Blythe"/>
        <s v="Porter"/>
        <s v="Blair"/>
        <s v="Boyden"/>
        <s v="Hayden"/>
        <s v="Wilson"/>
        <s v="Constable"/>
        <s v="Stuart"/>
        <s v="Polter"/>
        <s v="Atkins"/>
        <s v="Norris"/>
        <s v="Arthur"/>
        <s v="Craig"/>
        <s v="Howard"/>
        <s v="Soul"/>
        <s v="Simpson"/>
        <s v="Roberts"/>
        <s v="Murray"/>
        <s v="Peterson"/>
        <s v="Barney"/>
        <s v="Martin"/>
        <s v="Carter"/>
        <s v="Garrison"/>
      </sharedItems>
    </cacheField>
    <cacheField name="Amount" numFmtId="0">
      <sharedItems containsSemiMixedTypes="0" containsString="0" containsNumber="1" minValue="126" maxValue="84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x v="0"/>
    <n v="44224"/>
    <n v="595"/>
    <x v="0"/>
    <n v="8000"/>
  </r>
  <r>
    <x v="0"/>
    <n v="44230"/>
    <n v="600"/>
    <x v="1"/>
    <n v="6000"/>
  </r>
  <r>
    <x v="0"/>
    <n v="44244"/>
    <n v="602"/>
    <x v="2"/>
    <n v="7000"/>
  </r>
  <r>
    <x v="0"/>
    <n v="44244"/>
    <n v="603"/>
    <x v="3"/>
    <n v="4000"/>
  </r>
  <r>
    <x v="0"/>
    <n v="44245"/>
    <n v="605"/>
    <x v="4"/>
    <n v="1000"/>
  </r>
  <r>
    <x v="0"/>
    <n v="44251"/>
    <n v="606"/>
    <x v="5"/>
    <n v="6000"/>
  </r>
  <r>
    <x v="0"/>
    <n v="44251"/>
    <n v="607"/>
    <x v="6"/>
    <n v="6000"/>
  </r>
  <r>
    <x v="1"/>
    <n v="44215"/>
    <n v="591"/>
    <x v="7"/>
    <n v="34970"/>
  </r>
  <r>
    <x v="1"/>
    <n v="44217"/>
    <n v="596"/>
    <x v="8"/>
    <n v="34545.449999999997"/>
  </r>
  <r>
    <x v="1"/>
    <n v="44252"/>
    <n v="592"/>
    <x v="9"/>
    <n v="25196.36"/>
  </r>
  <r>
    <x v="1"/>
    <n v="44255"/>
    <n v="569"/>
    <x v="10"/>
    <n v="24913.64"/>
  </r>
  <r>
    <x v="1"/>
    <n v="44255"/>
    <n v="594"/>
    <x v="11"/>
    <n v="7000"/>
  </r>
  <r>
    <x v="1"/>
    <n v="44265"/>
    <n v="611"/>
    <x v="12"/>
    <n v="14545.45"/>
  </r>
  <r>
    <x v="1"/>
    <n v="44276"/>
    <n v="614"/>
    <x v="13"/>
    <n v="17943.64"/>
  </r>
  <r>
    <x v="1"/>
    <n v="44286"/>
    <n v="546"/>
    <x v="14"/>
    <n v="32036.36"/>
  </r>
  <r>
    <x v="2"/>
    <n v="44264"/>
    <n v="610"/>
    <x v="6"/>
    <n v="84200"/>
  </r>
  <r>
    <x v="3"/>
    <n v="44265"/>
    <n v="611"/>
    <x v="7"/>
    <n v="77258.179999999993"/>
  </r>
  <r>
    <x v="4"/>
    <n v="44241"/>
    <n v="575"/>
    <x v="15"/>
    <n v="8015.91"/>
  </r>
  <r>
    <x v="4"/>
    <n v="44259"/>
    <n v="608"/>
    <x v="15"/>
    <n v="27272.73"/>
  </r>
  <r>
    <x v="0"/>
    <n v="44292"/>
    <n v="616"/>
    <x v="16"/>
    <n v="6000"/>
  </r>
  <r>
    <x v="1"/>
    <n v="44292"/>
    <n v="611"/>
    <x v="7"/>
    <n v="14545.45"/>
  </r>
  <r>
    <x v="2"/>
    <n v="44300"/>
    <n v="618"/>
    <x v="13"/>
    <n v="36533.64"/>
  </r>
  <r>
    <x v="2"/>
    <n v="44310"/>
    <n v="621"/>
    <x v="17"/>
    <n v="46845.45"/>
  </r>
  <r>
    <x v="3"/>
    <n v="44292"/>
    <n v="611"/>
    <x v="11"/>
    <n v="77258.179999999993"/>
  </r>
  <r>
    <x v="3"/>
    <n v="44293"/>
    <n v="617"/>
    <x v="6"/>
    <n v="20719.09"/>
  </r>
  <r>
    <x v="3"/>
    <n v="44298"/>
    <n v="612"/>
    <x v="8"/>
    <n v="12869.09"/>
  </r>
  <r>
    <x v="5"/>
    <n v="44340"/>
    <n v="630"/>
    <x v="18"/>
    <n v="1000"/>
  </r>
  <r>
    <x v="5"/>
    <n v="44346"/>
    <n v="630"/>
    <x v="18"/>
    <n v="1000"/>
  </r>
  <r>
    <x v="5"/>
    <n v="44346"/>
    <n v="632"/>
    <x v="19"/>
    <n v="1000"/>
  </r>
  <r>
    <x v="0"/>
    <n v="44326"/>
    <n v="623"/>
    <x v="20"/>
    <n v="7000"/>
  </r>
  <r>
    <x v="0"/>
    <n v="44327"/>
    <n v="623"/>
    <x v="20"/>
    <n v="7000"/>
  </r>
  <r>
    <x v="0"/>
    <n v="44340"/>
    <n v="630"/>
    <x v="18"/>
    <n v="5000"/>
  </r>
  <r>
    <x v="0"/>
    <n v="44346"/>
    <n v="630"/>
    <x v="18"/>
    <n v="5000"/>
  </r>
  <r>
    <x v="1"/>
    <n v="44325"/>
    <n v="611"/>
    <x v="11"/>
    <n v="14545.45"/>
  </r>
  <r>
    <x v="3"/>
    <n v="44325"/>
    <n v="611"/>
    <x v="11"/>
    <n v="77258.179999999993"/>
  </r>
  <r>
    <x v="3"/>
    <n v="44335"/>
    <n v="627"/>
    <x v="13"/>
    <n v="10023.64"/>
  </r>
  <r>
    <x v="3"/>
    <n v="44336"/>
    <n v="627"/>
    <x v="13"/>
    <n v="10023.64"/>
  </r>
  <r>
    <x v="3"/>
    <n v="44340"/>
    <n v="626"/>
    <x v="14"/>
    <n v="11909.09"/>
  </r>
  <r>
    <x v="3"/>
    <n v="44343"/>
    <n v="625"/>
    <x v="9"/>
    <n v="18946.36"/>
  </r>
  <r>
    <x v="6"/>
    <n v="44339"/>
    <n v="628"/>
    <x v="21"/>
    <n v="707.27"/>
  </r>
  <r>
    <x v="6"/>
    <n v="44339"/>
    <n v="629"/>
    <x v="17"/>
    <n v="126"/>
  </r>
  <r>
    <x v="4"/>
    <n v="44318"/>
    <n v="608"/>
    <x v="21"/>
    <n v="27272.73"/>
  </r>
  <r>
    <x v="4"/>
    <n v="44334"/>
    <n v="586"/>
    <x v="22"/>
    <n v="18181.82"/>
  </r>
  <r>
    <x v="4"/>
    <n v="44335"/>
    <n v="586"/>
    <x v="22"/>
    <n v="18181.82"/>
  </r>
  <r>
    <x v="4"/>
    <n v="44339"/>
    <n v="608"/>
    <x v="21"/>
    <n v="27272.73"/>
  </r>
  <r>
    <x v="4"/>
    <n v="44340"/>
    <n v="631"/>
    <x v="23"/>
    <n v="5000"/>
  </r>
  <r>
    <x v="4"/>
    <n v="44342"/>
    <n v="586"/>
    <x v="24"/>
    <n v="18181.82"/>
  </r>
  <r>
    <x v="0"/>
    <n v="44389"/>
    <n v="653"/>
    <x v="25"/>
    <n v="6000"/>
  </r>
  <r>
    <x v="0"/>
    <n v="44399"/>
    <n v="658"/>
    <x v="26"/>
    <n v="6000"/>
  </r>
  <r>
    <x v="0"/>
    <n v="44402"/>
    <n v="658"/>
    <x v="26"/>
    <n v="6000"/>
  </r>
  <r>
    <x v="3"/>
    <n v="44397"/>
    <n v="654"/>
    <x v="27"/>
    <n v="9711.82"/>
  </r>
  <r>
    <x v="6"/>
    <n v="44382"/>
    <n v="646"/>
    <x v="28"/>
    <n v="2660"/>
  </r>
  <r>
    <x v="6"/>
    <n v="44397"/>
    <n v="657"/>
    <x v="12"/>
    <n v="2516.36"/>
  </r>
  <r>
    <x v="6"/>
    <n v="44397"/>
    <n v="657"/>
    <x v="12"/>
    <n v="649.09"/>
  </r>
  <r>
    <x v="7"/>
    <n v="44397"/>
    <n v="652"/>
    <x v="23"/>
    <n v="35201.82"/>
  </r>
  <r>
    <x v="7"/>
    <n v="44399"/>
    <n v="652"/>
    <x v="23"/>
    <n v="35201.82"/>
  </r>
  <r>
    <x v="7"/>
    <n v="44403"/>
    <n v="652"/>
    <x v="23"/>
    <n v="35201.82"/>
  </r>
  <r>
    <x v="8"/>
    <n v="44383"/>
    <n v="648"/>
    <x v="24"/>
    <n v="18181.82"/>
  </r>
  <r>
    <x v="8"/>
    <n v="44402"/>
    <n v="659"/>
    <x v="1"/>
    <n v="10909.09"/>
  </r>
  <r>
    <x v="5"/>
    <n v="44355"/>
    <n v="630"/>
    <x v="18"/>
    <n v="1000"/>
  </r>
  <r>
    <x v="0"/>
    <n v="44355"/>
    <n v="630"/>
    <x v="18"/>
    <n v="5000"/>
  </r>
  <r>
    <x v="0"/>
    <n v="44364"/>
    <n v="636"/>
    <x v="29"/>
    <n v="4000"/>
  </r>
  <r>
    <x v="0"/>
    <n v="44367"/>
    <n v="642"/>
    <x v="30"/>
    <n v="2000"/>
  </r>
  <r>
    <x v="0"/>
    <n v="44370"/>
    <n v="643"/>
    <x v="30"/>
    <n v="5000"/>
  </r>
  <r>
    <x v="6"/>
    <n v="44356"/>
    <n v="633"/>
    <x v="31"/>
    <n v="655"/>
  </r>
  <r>
    <x v="8"/>
    <n v="44362"/>
    <n v="635"/>
    <x v="24"/>
    <n v="20909.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4E462D-5423-4FBF-A0C8-D8AAB93CB2B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U43" firstHeaderRow="1" firstDataRow="2" firstDataCol="1"/>
  <pivotFields count="5">
    <pivotField axis="axisCol" showAll="0">
      <items count="10">
        <item x="0"/>
        <item x="1"/>
        <item x="2"/>
        <item x="3"/>
        <item x="8"/>
        <item x="6"/>
        <item x="5"/>
        <item x="4"/>
        <item x="7"/>
        <item t="default"/>
      </items>
    </pivotField>
    <pivotField showAll="0"/>
    <pivotField showAll="0"/>
    <pivotField axis="axisRow" showAll="0">
      <items count="33">
        <item x="20"/>
        <item x="18"/>
        <item x="28"/>
        <item x="11"/>
        <item x="9"/>
        <item x="12"/>
        <item x="7"/>
        <item x="30"/>
        <item x="8"/>
        <item x="15"/>
        <item x="21"/>
        <item x="2"/>
        <item x="1"/>
        <item x="6"/>
        <item x="31"/>
        <item x="13"/>
        <item x="22"/>
        <item x="29"/>
        <item x="3"/>
        <item x="26"/>
        <item x="19"/>
        <item x="4"/>
        <item x="27"/>
        <item x="17"/>
        <item x="0"/>
        <item x="10"/>
        <item x="25"/>
        <item x="24"/>
        <item x="23"/>
        <item x="16"/>
        <item x="5"/>
        <item x="14"/>
        <item t="default"/>
      </items>
    </pivotField>
    <pivotField dataField="1" showAll="0"/>
  </pivotFields>
  <rowFields count="1">
    <field x="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0"/>
  </colFields>
  <colItems count="10">
    <i>
      <x/>
    </i>
    <i>
      <x v="1"/>
    </i>
    <i>
      <x v="2"/>
    </i>
    <i>
      <x v="3"/>
    </i>
    <i>
      <x v="4"/>
    </i>
    <i>
      <x v="5"/>
    </i>
    <i>
      <x v="6"/>
    </i>
    <i>
      <x v="7"/>
    </i>
    <i>
      <x v="8"/>
    </i>
    <i t="grand">
      <x/>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BA602-6DA6-4AAB-B50A-5A2AC118391D}" name="DataTable" displayName="DataTable" ref="A3:E69" totalsRowShown="0">
  <autoFilter ref="A3:E69" xr:uid="{000BA602-6DA6-4AAB-B50A-5A2AC118391D}"/>
  <tableColumns count="5">
    <tableColumn id="1" xr3:uid="{B054E1D3-A4EB-4F94-ACB6-510D92D223C5}" name="Type"/>
    <tableColumn id="2" xr3:uid="{6F291558-C88C-4BEC-A452-E25ED29C7E2F}" name="Date"/>
    <tableColumn id="3" xr3:uid="{A6F1861C-16E5-498F-9549-6B53F1146705}" name="Invoice"/>
    <tableColumn id="4" xr3:uid="{8DCCFB0E-8601-41CA-84CE-5BD3F6829269}" name="Name"/>
    <tableColumn id="5" xr3:uid="{225E91D7-F6C4-4E6D-B776-971A5286CA75}" name="Amount"/>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3DF370-AF76-4C15-83BF-6C3EF54F50C6}" name="DataTable4" displayName="DataTable4" ref="A2:E68" totalsRowShown="0">
  <autoFilter ref="A2:E68" xr:uid="{313DF370-AF76-4C15-83BF-6C3EF54F50C6}"/>
  <tableColumns count="5">
    <tableColumn id="1" xr3:uid="{E5DF2A37-01F2-41A2-8C56-20851319876E}" name="Type"/>
    <tableColumn id="2" xr3:uid="{4998432B-AC76-4DA7-B677-F2D37D99C536}" name="Date"/>
    <tableColumn id="3" xr3:uid="{AA1DCF1F-B608-43E6-AE46-5FD8B52FF998}" name="Invoice"/>
    <tableColumn id="4" xr3:uid="{51349C3F-086A-4AB5-9A35-F31CE844FE10}" name="Name"/>
    <tableColumn id="5" xr3:uid="{3E54FA01-C111-4AD3-A3A9-49B6FCF91B60}" name="Amount"/>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FB1188-F359-4B0A-8AE8-353929359550}" name="Table2" displayName="Table2" ref="A2:E68" totalsRowShown="0" headerRowDxfId="0">
  <autoFilter ref="A2:E68" xr:uid="{C0FB1188-F359-4B0A-8AE8-353929359550}"/>
  <tableColumns count="5">
    <tableColumn id="1" xr3:uid="{AF7E2A11-0D8F-4FFB-AC20-091C594AD592}" name="Type"/>
    <tableColumn id="2" xr3:uid="{1DDC3B68-AEC5-40B2-9CEA-8CF2F062BF21}" name="Date"/>
    <tableColumn id="3" xr3:uid="{D6F55F72-EE48-4E89-85C4-EAA7A6DA7DD3}" name="Invoice"/>
    <tableColumn id="4" xr3:uid="{AD437FEC-DF91-49D3-9917-A6AD75930565}" name="Name"/>
    <tableColumn id="5" xr3:uid="{3024049B-8AF4-4F20-AC37-850D929EA6FE}" name="Amount"/>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762DA-1E7C-4951-ABFC-623DD3172229}">
  <dimension ref="B1:U25"/>
  <sheetViews>
    <sheetView topLeftCell="C10" workbookViewId="0">
      <selection activeCell="D25" sqref="D25"/>
    </sheetView>
  </sheetViews>
  <sheetFormatPr defaultRowHeight="14.5" x14ac:dyDescent="0.35"/>
  <cols>
    <col min="16" max="17" width="14.54296875" customWidth="1"/>
  </cols>
  <sheetData>
    <row r="1" spans="2:21" x14ac:dyDescent="0.35">
      <c r="B1" s="17" t="s">
        <v>74</v>
      </c>
      <c r="C1" s="17"/>
      <c r="D1" s="17"/>
      <c r="E1" s="17"/>
      <c r="F1" s="17"/>
      <c r="G1" s="17"/>
      <c r="H1" s="17"/>
      <c r="I1" s="17"/>
      <c r="J1" s="17"/>
      <c r="K1" s="17"/>
      <c r="L1" s="17"/>
      <c r="M1" s="17"/>
      <c r="N1" s="17"/>
    </row>
    <row r="2" spans="2:21" x14ac:dyDescent="0.35">
      <c r="B2" s="17"/>
      <c r="C2" s="17"/>
      <c r="D2" s="17"/>
      <c r="E2" s="17"/>
      <c r="F2" s="17"/>
      <c r="G2" s="17"/>
      <c r="H2" s="17"/>
      <c r="I2" s="17"/>
      <c r="J2" s="17"/>
      <c r="K2" s="17"/>
      <c r="L2" s="17"/>
      <c r="M2" s="17"/>
      <c r="N2" s="17"/>
      <c r="P2" s="11"/>
      <c r="Q2" s="11"/>
      <c r="R2" s="11"/>
      <c r="S2" s="11"/>
      <c r="T2" s="11"/>
      <c r="U2" s="11"/>
    </row>
    <row r="3" spans="2:21" ht="23.5" x14ac:dyDescent="0.35">
      <c r="B3" s="17"/>
      <c r="C3" s="17"/>
      <c r="D3" s="17"/>
      <c r="E3" s="17"/>
      <c r="F3" s="17"/>
      <c r="G3" s="17"/>
      <c r="H3" s="17"/>
      <c r="I3" s="17"/>
      <c r="J3" s="17"/>
      <c r="K3" s="17"/>
      <c r="L3" s="17"/>
      <c r="M3" s="17"/>
      <c r="N3" s="17"/>
      <c r="P3" s="12" t="s">
        <v>75</v>
      </c>
      <c r="R3" s="11"/>
      <c r="S3" s="11"/>
      <c r="T3" s="11"/>
      <c r="U3" s="11"/>
    </row>
    <row r="4" spans="2:21" x14ac:dyDescent="0.35">
      <c r="B4" s="17"/>
      <c r="C4" s="17"/>
      <c r="D4" s="17"/>
      <c r="E4" s="17"/>
      <c r="F4" s="17"/>
      <c r="G4" s="17"/>
      <c r="H4" s="17"/>
      <c r="I4" s="17"/>
      <c r="J4" s="17"/>
      <c r="K4" s="17"/>
      <c r="L4" s="17"/>
      <c r="M4" s="17"/>
      <c r="N4" s="17"/>
      <c r="R4" s="11"/>
      <c r="S4" s="11"/>
      <c r="T4" s="11"/>
      <c r="U4" s="11"/>
    </row>
    <row r="5" spans="2:21" x14ac:dyDescent="0.35">
      <c r="B5" s="17"/>
      <c r="C5" s="17"/>
      <c r="D5" s="17"/>
      <c r="E5" s="17"/>
      <c r="F5" s="17"/>
      <c r="G5" s="17"/>
      <c r="H5" s="17"/>
      <c r="I5" s="17"/>
      <c r="J5" s="17"/>
      <c r="K5" s="17"/>
      <c r="L5" s="17"/>
      <c r="M5" s="17"/>
      <c r="N5" s="17"/>
      <c r="P5" s="14" t="s">
        <v>76</v>
      </c>
      <c r="Q5" s="14" t="s">
        <v>77</v>
      </c>
      <c r="R5" s="11"/>
      <c r="S5" s="11"/>
      <c r="T5" s="11"/>
      <c r="U5" s="11"/>
    </row>
    <row r="6" spans="2:21" x14ac:dyDescent="0.35">
      <c r="B6" s="17"/>
      <c r="C6" s="17"/>
      <c r="D6" s="17"/>
      <c r="E6" s="17"/>
      <c r="F6" s="17"/>
      <c r="G6" s="17"/>
      <c r="H6" s="17"/>
      <c r="I6" s="17"/>
      <c r="J6" s="17"/>
      <c r="K6" s="17"/>
      <c r="L6" s="17"/>
      <c r="M6" s="17"/>
      <c r="N6" s="17"/>
      <c r="P6" s="13" t="s">
        <v>78</v>
      </c>
      <c r="Q6" s="13" t="s">
        <v>79</v>
      </c>
      <c r="R6" s="11"/>
      <c r="S6" s="11"/>
      <c r="T6" s="11"/>
      <c r="U6" s="11"/>
    </row>
    <row r="7" spans="2:21" x14ac:dyDescent="0.35">
      <c r="B7" s="17"/>
      <c r="C7" s="17"/>
      <c r="D7" s="17"/>
      <c r="E7" s="17"/>
      <c r="F7" s="17"/>
      <c r="G7" s="17"/>
      <c r="H7" s="17"/>
      <c r="I7" s="17"/>
      <c r="J7" s="17"/>
      <c r="K7" s="17"/>
      <c r="L7" s="17"/>
      <c r="M7" s="17"/>
      <c r="N7" s="17"/>
      <c r="P7" s="13" t="s">
        <v>80</v>
      </c>
      <c r="Q7" s="13" t="s">
        <v>81</v>
      </c>
      <c r="R7" s="11"/>
      <c r="S7" s="11"/>
      <c r="T7" s="11"/>
      <c r="U7" s="11"/>
    </row>
    <row r="8" spans="2:21" x14ac:dyDescent="0.35">
      <c r="B8" s="17"/>
      <c r="C8" s="17"/>
      <c r="D8" s="17"/>
      <c r="E8" s="17"/>
      <c r="F8" s="17"/>
      <c r="G8" s="17"/>
      <c r="H8" s="17"/>
      <c r="I8" s="17"/>
      <c r="J8" s="17"/>
      <c r="K8" s="17"/>
      <c r="L8" s="17"/>
      <c r="M8" s="17"/>
      <c r="N8" s="17"/>
      <c r="P8" s="11"/>
      <c r="Q8" s="11"/>
      <c r="R8" s="11"/>
      <c r="S8" s="11"/>
      <c r="T8" s="11"/>
      <c r="U8" s="11"/>
    </row>
    <row r="9" spans="2:21" ht="23.5" x14ac:dyDescent="0.35">
      <c r="B9" s="17"/>
      <c r="C9" s="17"/>
      <c r="D9" s="17"/>
      <c r="E9" s="17"/>
      <c r="F9" s="17"/>
      <c r="G9" s="17"/>
      <c r="H9" s="17"/>
      <c r="I9" s="17"/>
      <c r="J9" s="17"/>
      <c r="K9" s="17"/>
      <c r="L9" s="17"/>
      <c r="M9" s="17"/>
      <c r="N9" s="17"/>
      <c r="P9" s="12" t="s">
        <v>82</v>
      </c>
      <c r="Q9" s="11"/>
      <c r="R9" s="11"/>
      <c r="S9" s="11"/>
      <c r="T9" s="11"/>
      <c r="U9" s="11"/>
    </row>
    <row r="10" spans="2:21" x14ac:dyDescent="0.35">
      <c r="B10" s="17"/>
      <c r="C10" s="17"/>
      <c r="D10" s="17"/>
      <c r="E10" s="17"/>
      <c r="F10" s="17"/>
      <c r="G10" s="17"/>
      <c r="H10" s="17"/>
      <c r="I10" s="17"/>
      <c r="J10" s="17"/>
      <c r="K10" s="17"/>
      <c r="L10" s="17"/>
      <c r="M10" s="17"/>
      <c r="N10" s="17"/>
    </row>
    <row r="11" spans="2:21" x14ac:dyDescent="0.35">
      <c r="B11" s="17"/>
      <c r="C11" s="17"/>
      <c r="D11" s="17"/>
      <c r="E11" s="17"/>
      <c r="F11" s="17"/>
      <c r="G11" s="17"/>
      <c r="H11" s="17"/>
      <c r="I11" s="17"/>
      <c r="J11" s="17"/>
      <c r="K11" s="17"/>
      <c r="L11" s="17"/>
      <c r="M11" s="17"/>
      <c r="N11" s="17"/>
      <c r="P11" t="s">
        <v>83</v>
      </c>
    </row>
    <row r="14" spans="2:21" ht="23.5" x14ac:dyDescent="0.35">
      <c r="D14" s="12" t="s">
        <v>84</v>
      </c>
    </row>
    <row r="16" spans="2:21" ht="17.5" x14ac:dyDescent="0.35">
      <c r="D16" s="15" t="s">
        <v>85</v>
      </c>
    </row>
    <row r="18" spans="4:4" ht="17.5" x14ac:dyDescent="0.35">
      <c r="D18" s="15" t="s">
        <v>86</v>
      </c>
    </row>
    <row r="20" spans="4:4" ht="17.5" x14ac:dyDescent="0.35">
      <c r="D20" s="15" t="s">
        <v>87</v>
      </c>
    </row>
    <row r="21" spans="4:4" x14ac:dyDescent="0.35">
      <c r="D21" s="16" t="s">
        <v>88</v>
      </c>
    </row>
    <row r="22" spans="4:4" x14ac:dyDescent="0.35">
      <c r="D22" s="16" t="s">
        <v>89</v>
      </c>
    </row>
    <row r="24" spans="4:4" ht="17.5" x14ac:dyDescent="0.35">
      <c r="D24" s="15" t="s">
        <v>90</v>
      </c>
    </row>
    <row r="25" spans="4:4" x14ac:dyDescent="0.35">
      <c r="D25" t="s">
        <v>91</v>
      </c>
    </row>
  </sheetData>
  <mergeCells count="1">
    <mergeCell ref="B1:N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D2435-57B1-4641-971E-ACB0D22B0EBE}">
  <dimension ref="A2:AK69"/>
  <sheetViews>
    <sheetView topLeftCell="A37" workbookViewId="0">
      <selection activeCell="A3" sqref="A3:E69"/>
    </sheetView>
  </sheetViews>
  <sheetFormatPr defaultRowHeight="14.5" x14ac:dyDescent="0.35"/>
  <cols>
    <col min="5" max="5" width="9.54296875" customWidth="1"/>
    <col min="7" max="7" width="14.36328125" customWidth="1"/>
    <col min="10" max="11" width="12.54296875" bestFit="1" customWidth="1"/>
  </cols>
  <sheetData>
    <row r="2" spans="1:37" x14ac:dyDescent="0.35">
      <c r="I2" s="17" t="s">
        <v>46</v>
      </c>
      <c r="J2" s="17"/>
      <c r="K2" s="17"/>
      <c r="L2" s="17"/>
      <c r="M2" s="17"/>
    </row>
    <row r="3" spans="1:37" x14ac:dyDescent="0.35">
      <c r="A3" t="s">
        <v>0</v>
      </c>
      <c r="B3" t="s">
        <v>1</v>
      </c>
      <c r="C3" t="s">
        <v>2</v>
      </c>
      <c r="D3" t="s">
        <v>3</v>
      </c>
      <c r="E3" t="s">
        <v>4</v>
      </c>
      <c r="I3" s="17"/>
      <c r="J3" s="17"/>
      <c r="K3" s="17"/>
      <c r="L3" s="17"/>
      <c r="M3" s="17"/>
    </row>
    <row r="4" spans="1:37" x14ac:dyDescent="0.35">
      <c r="A4" t="s">
        <v>5</v>
      </c>
      <c r="B4">
        <v>44224</v>
      </c>
      <c r="C4">
        <v>595</v>
      </c>
      <c r="D4" t="s">
        <v>6</v>
      </c>
      <c r="E4">
        <v>8000</v>
      </c>
      <c r="I4" s="17"/>
      <c r="J4" s="17"/>
      <c r="K4" s="17"/>
      <c r="L4" s="17"/>
      <c r="M4" s="17"/>
    </row>
    <row r="5" spans="1:37" x14ac:dyDescent="0.35">
      <c r="A5" t="s">
        <v>5</v>
      </c>
      <c r="B5">
        <v>44230</v>
      </c>
      <c r="C5">
        <v>600</v>
      </c>
      <c r="D5" t="s">
        <v>7</v>
      </c>
      <c r="E5">
        <v>6000</v>
      </c>
    </row>
    <row r="6" spans="1:37" x14ac:dyDescent="0.35">
      <c r="A6" t="s">
        <v>5</v>
      </c>
      <c r="B6">
        <v>44244</v>
      </c>
      <c r="C6">
        <v>602</v>
      </c>
      <c r="D6" t="s">
        <v>8</v>
      </c>
      <c r="E6">
        <v>7000</v>
      </c>
      <c r="G6" s="1" t="s">
        <v>48</v>
      </c>
      <c r="I6" s="1" t="s">
        <v>50</v>
      </c>
      <c r="J6" s="5"/>
      <c r="K6" s="5"/>
      <c r="M6" s="1" t="s">
        <v>53</v>
      </c>
      <c r="S6" s="1" t="s">
        <v>55</v>
      </c>
      <c r="W6" s="1" t="s">
        <v>57</v>
      </c>
    </row>
    <row r="7" spans="1:37" x14ac:dyDescent="0.35">
      <c r="A7" t="s">
        <v>5</v>
      </c>
      <c r="B7">
        <v>44244</v>
      </c>
      <c r="C7">
        <v>603</v>
      </c>
      <c r="D7" t="s">
        <v>9</v>
      </c>
      <c r="E7">
        <v>4000</v>
      </c>
      <c r="G7" s="2" t="s">
        <v>49</v>
      </c>
      <c r="I7" s="6" t="s">
        <v>47</v>
      </c>
      <c r="J7" s="6"/>
      <c r="K7" s="6"/>
      <c r="M7" s="2" t="s">
        <v>54</v>
      </c>
      <c r="N7" s="6"/>
      <c r="O7" s="6"/>
      <c r="P7" s="6"/>
      <c r="Q7" s="6"/>
      <c r="S7" s="6" t="s">
        <v>56</v>
      </c>
      <c r="T7" s="6"/>
      <c r="U7" s="6"/>
      <c r="W7" s="2" t="s">
        <v>58</v>
      </c>
      <c r="X7" s="6"/>
      <c r="Y7" s="6"/>
      <c r="Z7" s="6"/>
      <c r="AG7" s="1" t="s">
        <v>60</v>
      </c>
      <c r="AI7" s="1" t="s">
        <v>63</v>
      </c>
      <c r="AK7" s="2" t="s">
        <v>64</v>
      </c>
    </row>
    <row r="8" spans="1:37" x14ac:dyDescent="0.35">
      <c r="A8" t="s">
        <v>5</v>
      </c>
      <c r="B8">
        <v>44245</v>
      </c>
      <c r="C8">
        <v>605</v>
      </c>
      <c r="D8" t="s">
        <v>10</v>
      </c>
      <c r="E8">
        <v>1000</v>
      </c>
      <c r="G8" s="3" t="s">
        <v>0</v>
      </c>
      <c r="I8" s="7" t="s">
        <v>0</v>
      </c>
      <c r="J8" s="7" t="s">
        <v>1</v>
      </c>
      <c r="K8" s="7" t="s">
        <v>1</v>
      </c>
      <c r="M8" s="7" t="s">
        <v>0</v>
      </c>
      <c r="S8" s="7" t="s">
        <v>0</v>
      </c>
      <c r="T8" s="7" t="s">
        <v>1</v>
      </c>
      <c r="U8" s="7" t="s">
        <v>1</v>
      </c>
      <c r="W8" s="7" t="s">
        <v>0</v>
      </c>
      <c r="X8" s="7" t="s">
        <v>3</v>
      </c>
      <c r="AG8" s="2" t="s">
        <v>61</v>
      </c>
      <c r="AI8" s="2" t="s">
        <v>64</v>
      </c>
      <c r="AK8" s="7" t="s">
        <v>0</v>
      </c>
    </row>
    <row r="9" spans="1:37" x14ac:dyDescent="0.35">
      <c r="A9" t="s">
        <v>5</v>
      </c>
      <c r="B9">
        <v>44251</v>
      </c>
      <c r="C9">
        <v>606</v>
      </c>
      <c r="D9" t="s">
        <v>11</v>
      </c>
      <c r="E9">
        <v>6000</v>
      </c>
      <c r="G9" s="4" t="s">
        <v>5</v>
      </c>
      <c r="I9" s="4" t="s">
        <v>5</v>
      </c>
      <c r="J9" s="4" t="s">
        <v>51</v>
      </c>
      <c r="K9" s="4" t="s">
        <v>52</v>
      </c>
      <c r="M9" s="4" t="s">
        <v>5</v>
      </c>
      <c r="S9" s="4" t="s">
        <v>5</v>
      </c>
      <c r="T9" s="4" t="s">
        <v>51</v>
      </c>
      <c r="U9" s="4" t="s">
        <v>52</v>
      </c>
      <c r="W9" s="4" t="s">
        <v>5</v>
      </c>
      <c r="X9" s="8"/>
      <c r="AG9" s="7" t="s">
        <v>3</v>
      </c>
      <c r="AI9" s="7" t="s">
        <v>2</v>
      </c>
      <c r="AK9" s="4" t="s">
        <v>5</v>
      </c>
    </row>
    <row r="10" spans="1:37" x14ac:dyDescent="0.35">
      <c r="A10" t="s">
        <v>5</v>
      </c>
      <c r="B10">
        <v>44251</v>
      </c>
      <c r="C10">
        <v>607</v>
      </c>
      <c r="D10" t="s">
        <v>12</v>
      </c>
      <c r="E10">
        <v>6000</v>
      </c>
      <c r="M10" s="4" t="s">
        <v>13</v>
      </c>
      <c r="S10" s="4" t="s">
        <v>13</v>
      </c>
      <c r="T10" s="4" t="s">
        <v>51</v>
      </c>
      <c r="U10" s="4" t="s">
        <v>52</v>
      </c>
      <c r="W10" s="4"/>
      <c r="X10" s="8" t="s">
        <v>59</v>
      </c>
      <c r="AG10" s="8" t="s">
        <v>62</v>
      </c>
      <c r="AI10" s="4">
        <v>603</v>
      </c>
    </row>
    <row r="11" spans="1:37" x14ac:dyDescent="0.35">
      <c r="A11" t="s">
        <v>13</v>
      </c>
      <c r="B11">
        <v>44215</v>
      </c>
      <c r="C11">
        <v>591</v>
      </c>
      <c r="D11" t="s">
        <v>14</v>
      </c>
      <c r="E11">
        <v>34970</v>
      </c>
    </row>
    <row r="12" spans="1:37" x14ac:dyDescent="0.35">
      <c r="A12" t="s">
        <v>13</v>
      </c>
      <c r="B12">
        <v>44217</v>
      </c>
      <c r="C12">
        <v>596</v>
      </c>
      <c r="D12" t="s">
        <v>15</v>
      </c>
      <c r="E12">
        <v>34545.449999999997</v>
      </c>
    </row>
    <row r="13" spans="1:37" x14ac:dyDescent="0.35">
      <c r="A13" t="s">
        <v>13</v>
      </c>
      <c r="B13">
        <v>44252</v>
      </c>
      <c r="C13">
        <v>592</v>
      </c>
      <c r="D13" t="s">
        <v>16</v>
      </c>
      <c r="E13">
        <v>25196.36</v>
      </c>
    </row>
    <row r="14" spans="1:37" x14ac:dyDescent="0.35">
      <c r="A14" t="s">
        <v>13</v>
      </c>
      <c r="B14">
        <v>44255</v>
      </c>
      <c r="C14">
        <v>569</v>
      </c>
      <c r="D14" t="s">
        <v>17</v>
      </c>
      <c r="E14">
        <v>24913.64</v>
      </c>
    </row>
    <row r="15" spans="1:37" x14ac:dyDescent="0.35">
      <c r="A15" t="s">
        <v>13</v>
      </c>
      <c r="B15">
        <v>44255</v>
      </c>
      <c r="C15">
        <v>594</v>
      </c>
      <c r="D15" t="s">
        <v>18</v>
      </c>
      <c r="E15">
        <v>7000</v>
      </c>
    </row>
    <row r="16" spans="1:37" x14ac:dyDescent="0.35">
      <c r="A16" t="s">
        <v>13</v>
      </c>
      <c r="B16">
        <v>44265</v>
      </c>
      <c r="C16">
        <v>611</v>
      </c>
      <c r="D16" t="s">
        <v>19</v>
      </c>
      <c r="E16">
        <v>14545.45</v>
      </c>
    </row>
    <row r="17" spans="1:5" x14ac:dyDescent="0.35">
      <c r="A17" t="s">
        <v>13</v>
      </c>
      <c r="B17">
        <v>44276</v>
      </c>
      <c r="C17">
        <v>614</v>
      </c>
      <c r="D17" t="s">
        <v>20</v>
      </c>
      <c r="E17">
        <v>17943.64</v>
      </c>
    </row>
    <row r="18" spans="1:5" x14ac:dyDescent="0.35">
      <c r="A18" t="s">
        <v>13</v>
      </c>
      <c r="B18">
        <v>44286</v>
      </c>
      <c r="C18">
        <v>546</v>
      </c>
      <c r="D18" t="s">
        <v>21</v>
      </c>
      <c r="E18">
        <v>32036.36</v>
      </c>
    </row>
    <row r="19" spans="1:5" x14ac:dyDescent="0.35">
      <c r="A19" t="s">
        <v>22</v>
      </c>
      <c r="B19">
        <v>44264</v>
      </c>
      <c r="C19">
        <v>610</v>
      </c>
      <c r="D19" t="s">
        <v>12</v>
      </c>
      <c r="E19">
        <v>84200</v>
      </c>
    </row>
    <row r="20" spans="1:5" x14ac:dyDescent="0.35">
      <c r="A20" t="s">
        <v>23</v>
      </c>
      <c r="B20">
        <v>44265</v>
      </c>
      <c r="C20">
        <v>611</v>
      </c>
      <c r="D20" t="s">
        <v>14</v>
      </c>
      <c r="E20">
        <v>77258.179999999993</v>
      </c>
    </row>
    <row r="21" spans="1:5" x14ac:dyDescent="0.35">
      <c r="A21" t="s">
        <v>24</v>
      </c>
      <c r="B21">
        <v>44241</v>
      </c>
      <c r="C21">
        <v>575</v>
      </c>
      <c r="D21" t="s">
        <v>25</v>
      </c>
      <c r="E21">
        <v>8015.91</v>
      </c>
    </row>
    <row r="22" spans="1:5" x14ac:dyDescent="0.35">
      <c r="A22" t="s">
        <v>24</v>
      </c>
      <c r="B22">
        <v>44259</v>
      </c>
      <c r="C22">
        <v>608</v>
      </c>
      <c r="D22" t="s">
        <v>25</v>
      </c>
      <c r="E22">
        <v>27272.73</v>
      </c>
    </row>
    <row r="23" spans="1:5" x14ac:dyDescent="0.35">
      <c r="A23" t="s">
        <v>5</v>
      </c>
      <c r="B23">
        <v>44292</v>
      </c>
      <c r="C23">
        <v>616</v>
      </c>
      <c r="D23" t="s">
        <v>26</v>
      </c>
      <c r="E23">
        <v>6000</v>
      </c>
    </row>
    <row r="24" spans="1:5" x14ac:dyDescent="0.35">
      <c r="A24" t="s">
        <v>13</v>
      </c>
      <c r="B24">
        <v>44292</v>
      </c>
      <c r="C24">
        <v>611</v>
      </c>
      <c r="D24" t="s">
        <v>14</v>
      </c>
      <c r="E24">
        <v>14545.45</v>
      </c>
    </row>
    <row r="25" spans="1:5" x14ac:dyDescent="0.35">
      <c r="A25" t="s">
        <v>22</v>
      </c>
      <c r="B25">
        <v>44300</v>
      </c>
      <c r="C25">
        <v>618</v>
      </c>
      <c r="D25" t="s">
        <v>20</v>
      </c>
      <c r="E25">
        <v>36533.64</v>
      </c>
    </row>
    <row r="26" spans="1:5" x14ac:dyDescent="0.35">
      <c r="A26" t="s">
        <v>22</v>
      </c>
      <c r="B26">
        <v>44310</v>
      </c>
      <c r="C26">
        <v>621</v>
      </c>
      <c r="D26" t="s">
        <v>27</v>
      </c>
      <c r="E26">
        <v>46845.45</v>
      </c>
    </row>
    <row r="27" spans="1:5" x14ac:dyDescent="0.35">
      <c r="A27" t="s">
        <v>23</v>
      </c>
      <c r="B27">
        <v>44292</v>
      </c>
      <c r="C27">
        <v>611</v>
      </c>
      <c r="D27" t="s">
        <v>18</v>
      </c>
      <c r="E27">
        <v>77258.179999999993</v>
      </c>
    </row>
    <row r="28" spans="1:5" x14ac:dyDescent="0.35">
      <c r="A28" t="s">
        <v>23</v>
      </c>
      <c r="B28">
        <v>44293</v>
      </c>
      <c r="C28">
        <v>617</v>
      </c>
      <c r="D28" t="s">
        <v>12</v>
      </c>
      <c r="E28">
        <v>20719.09</v>
      </c>
    </row>
    <row r="29" spans="1:5" x14ac:dyDescent="0.35">
      <c r="A29" t="s">
        <v>23</v>
      </c>
      <c r="B29">
        <v>44298</v>
      </c>
      <c r="C29">
        <v>612</v>
      </c>
      <c r="D29" t="s">
        <v>15</v>
      </c>
      <c r="E29">
        <v>12869.09</v>
      </c>
    </row>
    <row r="30" spans="1:5" x14ac:dyDescent="0.35">
      <c r="A30" t="s">
        <v>28</v>
      </c>
      <c r="B30">
        <v>44340</v>
      </c>
      <c r="C30">
        <v>630</v>
      </c>
      <c r="D30" t="s">
        <v>29</v>
      </c>
      <c r="E30">
        <v>1000</v>
      </c>
    </row>
    <row r="31" spans="1:5" x14ac:dyDescent="0.35">
      <c r="A31" t="s">
        <v>28</v>
      </c>
      <c r="B31">
        <v>44346</v>
      </c>
      <c r="C31">
        <v>630</v>
      </c>
      <c r="D31" t="s">
        <v>29</v>
      </c>
      <c r="E31">
        <v>1000</v>
      </c>
    </row>
    <row r="32" spans="1:5" x14ac:dyDescent="0.35">
      <c r="A32" t="s">
        <v>28</v>
      </c>
      <c r="B32">
        <v>44346</v>
      </c>
      <c r="C32">
        <v>632</v>
      </c>
      <c r="D32" t="s">
        <v>30</v>
      </c>
      <c r="E32">
        <v>1000</v>
      </c>
    </row>
    <row r="33" spans="1:5" x14ac:dyDescent="0.35">
      <c r="A33" t="s">
        <v>5</v>
      </c>
      <c r="B33">
        <v>44326</v>
      </c>
      <c r="C33">
        <v>623</v>
      </c>
      <c r="D33" t="s">
        <v>31</v>
      </c>
      <c r="E33">
        <v>7000</v>
      </c>
    </row>
    <row r="34" spans="1:5" x14ac:dyDescent="0.35">
      <c r="A34" t="s">
        <v>5</v>
      </c>
      <c r="B34">
        <v>44327</v>
      </c>
      <c r="C34">
        <v>623</v>
      </c>
      <c r="D34" t="s">
        <v>31</v>
      </c>
      <c r="E34">
        <v>7000</v>
      </c>
    </row>
    <row r="35" spans="1:5" x14ac:dyDescent="0.35">
      <c r="A35" t="s">
        <v>5</v>
      </c>
      <c r="B35">
        <v>44340</v>
      </c>
      <c r="C35">
        <v>630</v>
      </c>
      <c r="D35" t="s">
        <v>29</v>
      </c>
      <c r="E35">
        <v>5000</v>
      </c>
    </row>
    <row r="36" spans="1:5" x14ac:dyDescent="0.35">
      <c r="A36" t="s">
        <v>5</v>
      </c>
      <c r="B36">
        <v>44346</v>
      </c>
      <c r="C36">
        <v>630</v>
      </c>
      <c r="D36" t="s">
        <v>29</v>
      </c>
      <c r="E36">
        <v>5000</v>
      </c>
    </row>
    <row r="37" spans="1:5" x14ac:dyDescent="0.35">
      <c r="A37" t="s">
        <v>13</v>
      </c>
      <c r="B37">
        <v>44325</v>
      </c>
      <c r="C37">
        <v>611</v>
      </c>
      <c r="D37" t="s">
        <v>18</v>
      </c>
      <c r="E37">
        <v>14545.45</v>
      </c>
    </row>
    <row r="38" spans="1:5" x14ac:dyDescent="0.35">
      <c r="A38" t="s">
        <v>23</v>
      </c>
      <c r="B38">
        <v>44325</v>
      </c>
      <c r="C38">
        <v>611</v>
      </c>
      <c r="D38" t="s">
        <v>18</v>
      </c>
      <c r="E38">
        <v>77258.179999999993</v>
      </c>
    </row>
    <row r="39" spans="1:5" x14ac:dyDescent="0.35">
      <c r="A39" t="s">
        <v>23</v>
      </c>
      <c r="B39">
        <v>44335</v>
      </c>
      <c r="C39">
        <v>627</v>
      </c>
      <c r="D39" t="s">
        <v>20</v>
      </c>
      <c r="E39">
        <v>10023.64</v>
      </c>
    </row>
    <row r="40" spans="1:5" x14ac:dyDescent="0.35">
      <c r="A40" t="s">
        <v>23</v>
      </c>
      <c r="B40">
        <v>44336</v>
      </c>
      <c r="C40">
        <v>627</v>
      </c>
      <c r="D40" t="s">
        <v>20</v>
      </c>
      <c r="E40">
        <v>10023.64</v>
      </c>
    </row>
    <row r="41" spans="1:5" x14ac:dyDescent="0.35">
      <c r="A41" t="s">
        <v>23</v>
      </c>
      <c r="B41">
        <v>44340</v>
      </c>
      <c r="C41">
        <v>626</v>
      </c>
      <c r="D41" t="s">
        <v>21</v>
      </c>
      <c r="E41">
        <v>11909.09</v>
      </c>
    </row>
    <row r="42" spans="1:5" x14ac:dyDescent="0.35">
      <c r="A42" t="s">
        <v>23</v>
      </c>
      <c r="B42">
        <v>44343</v>
      </c>
      <c r="C42">
        <v>625</v>
      </c>
      <c r="D42" t="s">
        <v>16</v>
      </c>
      <c r="E42">
        <v>18946.36</v>
      </c>
    </row>
    <row r="43" spans="1:5" x14ac:dyDescent="0.35">
      <c r="A43" t="s">
        <v>32</v>
      </c>
      <c r="B43">
        <v>44339</v>
      </c>
      <c r="C43">
        <v>628</v>
      </c>
      <c r="D43" t="s">
        <v>33</v>
      </c>
      <c r="E43">
        <v>707.27</v>
      </c>
    </row>
    <row r="44" spans="1:5" x14ac:dyDescent="0.35">
      <c r="A44" t="s">
        <v>32</v>
      </c>
      <c r="B44">
        <v>44339</v>
      </c>
      <c r="C44">
        <v>629</v>
      </c>
      <c r="D44" t="s">
        <v>27</v>
      </c>
      <c r="E44">
        <v>126</v>
      </c>
    </row>
    <row r="45" spans="1:5" x14ac:dyDescent="0.35">
      <c r="A45" t="s">
        <v>24</v>
      </c>
      <c r="B45">
        <v>44318</v>
      </c>
      <c r="C45">
        <v>608</v>
      </c>
      <c r="D45" t="s">
        <v>33</v>
      </c>
      <c r="E45">
        <v>27272.73</v>
      </c>
    </row>
    <row r="46" spans="1:5" x14ac:dyDescent="0.35">
      <c r="A46" t="s">
        <v>24</v>
      </c>
      <c r="B46">
        <v>44334</v>
      </c>
      <c r="C46">
        <v>586</v>
      </c>
      <c r="D46" t="s">
        <v>34</v>
      </c>
      <c r="E46">
        <v>18181.82</v>
      </c>
    </row>
    <row r="47" spans="1:5" x14ac:dyDescent="0.35">
      <c r="A47" t="s">
        <v>24</v>
      </c>
      <c r="B47">
        <v>44335</v>
      </c>
      <c r="C47">
        <v>586</v>
      </c>
      <c r="D47" t="s">
        <v>34</v>
      </c>
      <c r="E47">
        <v>18181.82</v>
      </c>
    </row>
    <row r="48" spans="1:5" x14ac:dyDescent="0.35">
      <c r="A48" t="s">
        <v>24</v>
      </c>
      <c r="B48">
        <v>44339</v>
      </c>
      <c r="C48">
        <v>608</v>
      </c>
      <c r="D48" t="s">
        <v>33</v>
      </c>
      <c r="E48">
        <v>27272.73</v>
      </c>
    </row>
    <row r="49" spans="1:5" x14ac:dyDescent="0.35">
      <c r="A49" t="s">
        <v>24</v>
      </c>
      <c r="B49">
        <v>44340</v>
      </c>
      <c r="C49">
        <v>631</v>
      </c>
      <c r="D49" t="s">
        <v>35</v>
      </c>
      <c r="E49">
        <v>5000</v>
      </c>
    </row>
    <row r="50" spans="1:5" x14ac:dyDescent="0.35">
      <c r="A50" t="s">
        <v>24</v>
      </c>
      <c r="B50">
        <v>44342</v>
      </c>
      <c r="C50">
        <v>586</v>
      </c>
      <c r="D50" t="s">
        <v>36</v>
      </c>
      <c r="E50">
        <v>18181.82</v>
      </c>
    </row>
    <row r="51" spans="1:5" x14ac:dyDescent="0.35">
      <c r="A51" t="s">
        <v>5</v>
      </c>
      <c r="B51">
        <v>44389</v>
      </c>
      <c r="C51">
        <v>653</v>
      </c>
      <c r="D51" t="s">
        <v>37</v>
      </c>
      <c r="E51">
        <v>6000</v>
      </c>
    </row>
    <row r="52" spans="1:5" x14ac:dyDescent="0.35">
      <c r="A52" t="s">
        <v>5</v>
      </c>
      <c r="B52">
        <v>44399</v>
      </c>
      <c r="C52">
        <v>658</v>
      </c>
      <c r="D52" t="s">
        <v>38</v>
      </c>
      <c r="E52">
        <v>6000</v>
      </c>
    </row>
    <row r="53" spans="1:5" x14ac:dyDescent="0.35">
      <c r="A53" t="s">
        <v>5</v>
      </c>
      <c r="B53">
        <v>44402</v>
      </c>
      <c r="C53">
        <v>658</v>
      </c>
      <c r="D53" t="s">
        <v>38</v>
      </c>
      <c r="E53">
        <v>6000</v>
      </c>
    </row>
    <row r="54" spans="1:5" x14ac:dyDescent="0.35">
      <c r="A54" t="s">
        <v>23</v>
      </c>
      <c r="B54">
        <v>44397</v>
      </c>
      <c r="C54">
        <v>654</v>
      </c>
      <c r="D54" t="s">
        <v>39</v>
      </c>
      <c r="E54">
        <v>9711.82</v>
      </c>
    </row>
    <row r="55" spans="1:5" x14ac:dyDescent="0.35">
      <c r="A55" t="s">
        <v>32</v>
      </c>
      <c r="B55">
        <v>44382</v>
      </c>
      <c r="C55">
        <v>646</v>
      </c>
      <c r="D55" t="s">
        <v>40</v>
      </c>
      <c r="E55">
        <v>2660</v>
      </c>
    </row>
    <row r="56" spans="1:5" x14ac:dyDescent="0.35">
      <c r="A56" t="s">
        <v>32</v>
      </c>
      <c r="B56">
        <v>44397</v>
      </c>
      <c r="C56">
        <v>657</v>
      </c>
      <c r="D56" t="s">
        <v>19</v>
      </c>
      <c r="E56">
        <v>2516.36</v>
      </c>
    </row>
    <row r="57" spans="1:5" x14ac:dyDescent="0.35">
      <c r="A57" t="s">
        <v>32</v>
      </c>
      <c r="B57">
        <v>44397</v>
      </c>
      <c r="C57">
        <v>657</v>
      </c>
      <c r="D57" t="s">
        <v>19</v>
      </c>
      <c r="E57">
        <v>649.09</v>
      </c>
    </row>
    <row r="58" spans="1:5" x14ac:dyDescent="0.35">
      <c r="A58" t="s">
        <v>41</v>
      </c>
      <c r="B58">
        <v>44397</v>
      </c>
      <c r="C58">
        <v>652</v>
      </c>
      <c r="D58" t="s">
        <v>35</v>
      </c>
      <c r="E58">
        <v>35201.82</v>
      </c>
    </row>
    <row r="59" spans="1:5" x14ac:dyDescent="0.35">
      <c r="A59" t="s">
        <v>41</v>
      </c>
      <c r="B59">
        <v>44399</v>
      </c>
      <c r="C59">
        <v>652</v>
      </c>
      <c r="D59" t="s">
        <v>35</v>
      </c>
      <c r="E59">
        <v>35201.82</v>
      </c>
    </row>
    <row r="60" spans="1:5" x14ac:dyDescent="0.35">
      <c r="A60" t="s">
        <v>41</v>
      </c>
      <c r="B60">
        <v>44403</v>
      </c>
      <c r="C60">
        <v>652</v>
      </c>
      <c r="D60" t="s">
        <v>35</v>
      </c>
      <c r="E60">
        <v>35201.82</v>
      </c>
    </row>
    <row r="61" spans="1:5" x14ac:dyDescent="0.35">
      <c r="A61" t="s">
        <v>42</v>
      </c>
      <c r="B61">
        <v>44383</v>
      </c>
      <c r="C61">
        <v>648</v>
      </c>
      <c r="D61" t="s">
        <v>36</v>
      </c>
      <c r="E61">
        <v>18181.82</v>
      </c>
    </row>
    <row r="62" spans="1:5" x14ac:dyDescent="0.35">
      <c r="A62" t="s">
        <v>42</v>
      </c>
      <c r="B62">
        <v>44402</v>
      </c>
      <c r="C62">
        <v>659</v>
      </c>
      <c r="D62" t="s">
        <v>7</v>
      </c>
      <c r="E62">
        <v>10909.09</v>
      </c>
    </row>
    <row r="63" spans="1:5" x14ac:dyDescent="0.35">
      <c r="A63" t="s">
        <v>28</v>
      </c>
      <c r="B63">
        <v>44355</v>
      </c>
      <c r="C63">
        <v>630</v>
      </c>
      <c r="D63" t="s">
        <v>29</v>
      </c>
      <c r="E63">
        <v>1000</v>
      </c>
    </row>
    <row r="64" spans="1:5" x14ac:dyDescent="0.35">
      <c r="A64" t="s">
        <v>5</v>
      </c>
      <c r="B64">
        <v>44355</v>
      </c>
      <c r="C64">
        <v>630</v>
      </c>
      <c r="D64" t="s">
        <v>29</v>
      </c>
      <c r="E64">
        <v>5000</v>
      </c>
    </row>
    <row r="65" spans="1:5" x14ac:dyDescent="0.35">
      <c r="A65" t="s">
        <v>5</v>
      </c>
      <c r="B65">
        <v>44364</v>
      </c>
      <c r="C65">
        <v>636</v>
      </c>
      <c r="D65" t="s">
        <v>43</v>
      </c>
      <c r="E65">
        <v>4000</v>
      </c>
    </row>
    <row r="66" spans="1:5" x14ac:dyDescent="0.35">
      <c r="A66" t="s">
        <v>5</v>
      </c>
      <c r="B66">
        <v>44367</v>
      </c>
      <c r="C66">
        <v>642</v>
      </c>
      <c r="D66" t="s">
        <v>44</v>
      </c>
      <c r="E66">
        <v>2000</v>
      </c>
    </row>
    <row r="67" spans="1:5" x14ac:dyDescent="0.35">
      <c r="A67" t="s">
        <v>5</v>
      </c>
      <c r="B67">
        <v>44370</v>
      </c>
      <c r="C67">
        <v>643</v>
      </c>
      <c r="D67" t="s">
        <v>44</v>
      </c>
      <c r="E67">
        <v>5000</v>
      </c>
    </row>
    <row r="68" spans="1:5" x14ac:dyDescent="0.35">
      <c r="A68" t="s">
        <v>32</v>
      </c>
      <c r="B68">
        <v>44356</v>
      </c>
      <c r="C68">
        <v>633</v>
      </c>
      <c r="D68" t="s">
        <v>45</v>
      </c>
      <c r="E68">
        <v>655</v>
      </c>
    </row>
    <row r="69" spans="1:5" x14ac:dyDescent="0.35">
      <c r="A69" t="s">
        <v>42</v>
      </c>
      <c r="B69">
        <v>44362</v>
      </c>
      <c r="C69">
        <v>635</v>
      </c>
      <c r="D69" t="s">
        <v>36</v>
      </c>
      <c r="E69">
        <v>20909.09</v>
      </c>
    </row>
  </sheetData>
  <mergeCells count="1">
    <mergeCell ref="I2:M4"/>
  </mergeCells>
  <dataValidations count="1">
    <dataValidation type="list" allowBlank="1" showInputMessage="1" showErrorMessage="1" sqref="G9" xr:uid="{5BA4B763-62BD-43E4-9B05-62DDADFB4F18}">
      <formula1>"Level 1,Level 2,Level 3,Level 4,Level 5,Level 6,Level 7,Level 8,Level 9"</formula1>
    </dataValidation>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2DFF9-BC58-437F-8716-88C89DBF96DF}">
  <dimension ref="A2:U68"/>
  <sheetViews>
    <sheetView workbookViewId="0">
      <selection activeCell="E29" sqref="E29:E63"/>
    </sheetView>
  </sheetViews>
  <sheetFormatPr defaultRowHeight="14.5" x14ac:dyDescent="0.35"/>
  <cols>
    <col min="9" max="9" width="14" bestFit="1" customWidth="1"/>
    <col min="10" max="10" width="15.26953125" bestFit="1" customWidth="1"/>
    <col min="11" max="11" width="14" bestFit="1" customWidth="1"/>
    <col min="12" max="12" width="15.26953125" bestFit="1" customWidth="1"/>
    <col min="13" max="13" width="8.81640625" bestFit="1" customWidth="1"/>
    <col min="14" max="15" width="9.81640625" bestFit="1" customWidth="1"/>
    <col min="16" max="16" width="8.81640625" bestFit="1" customWidth="1"/>
    <col min="17" max="17" width="7.81640625" bestFit="1" customWidth="1"/>
    <col min="18" max="18" width="6.453125" bestFit="1" customWidth="1"/>
    <col min="19" max="20" width="9.81640625" bestFit="1" customWidth="1"/>
    <col min="21" max="21" width="10.7265625" bestFit="1" customWidth="1"/>
  </cols>
  <sheetData>
    <row r="2" spans="1:21" x14ac:dyDescent="0.35">
      <c r="A2" t="s">
        <v>0</v>
      </c>
      <c r="B2" t="s">
        <v>1</v>
      </c>
      <c r="C2" t="s">
        <v>2</v>
      </c>
      <c r="D2" t="s">
        <v>3</v>
      </c>
      <c r="E2" t="s">
        <v>4</v>
      </c>
    </row>
    <row r="3" spans="1:21" x14ac:dyDescent="0.35">
      <c r="A3" t="s">
        <v>5</v>
      </c>
      <c r="B3">
        <v>44224</v>
      </c>
      <c r="C3">
        <v>595</v>
      </c>
      <c r="D3" t="s">
        <v>6</v>
      </c>
      <c r="E3">
        <v>8000</v>
      </c>
    </row>
    <row r="4" spans="1:21" x14ac:dyDescent="0.35">
      <c r="A4" t="s">
        <v>5</v>
      </c>
      <c r="B4">
        <v>44230</v>
      </c>
      <c r="C4">
        <v>600</v>
      </c>
      <c r="D4" t="s">
        <v>7</v>
      </c>
      <c r="E4">
        <v>6000</v>
      </c>
    </row>
    <row r="5" spans="1:21" x14ac:dyDescent="0.35">
      <c r="A5" t="s">
        <v>5</v>
      </c>
      <c r="B5">
        <v>44244</v>
      </c>
      <c r="C5">
        <v>602</v>
      </c>
      <c r="D5" t="s">
        <v>8</v>
      </c>
      <c r="E5">
        <v>7000</v>
      </c>
    </row>
    <row r="6" spans="1:21" x14ac:dyDescent="0.35">
      <c r="A6" t="s">
        <v>5</v>
      </c>
      <c r="B6">
        <v>44244</v>
      </c>
      <c r="C6">
        <v>603</v>
      </c>
      <c r="D6" t="s">
        <v>9</v>
      </c>
      <c r="E6">
        <v>4000</v>
      </c>
    </row>
    <row r="7" spans="1:21" x14ac:dyDescent="0.35">
      <c r="A7" t="s">
        <v>5</v>
      </c>
      <c r="B7">
        <v>44245</v>
      </c>
      <c r="C7">
        <v>605</v>
      </c>
      <c r="D7" t="s">
        <v>10</v>
      </c>
      <c r="E7">
        <v>1000</v>
      </c>
    </row>
    <row r="8" spans="1:21" x14ac:dyDescent="0.35">
      <c r="A8" t="s">
        <v>5</v>
      </c>
      <c r="B8">
        <v>44251</v>
      </c>
      <c r="C8">
        <v>606</v>
      </c>
      <c r="D8" t="s">
        <v>11</v>
      </c>
      <c r="E8">
        <v>6000</v>
      </c>
    </row>
    <row r="9" spans="1:21" x14ac:dyDescent="0.35">
      <c r="A9" t="s">
        <v>5</v>
      </c>
      <c r="B9">
        <v>44251</v>
      </c>
      <c r="C9">
        <v>607</v>
      </c>
      <c r="D9" t="s">
        <v>12</v>
      </c>
      <c r="E9">
        <v>6000</v>
      </c>
      <c r="K9" s="9" t="s">
        <v>72</v>
      </c>
      <c r="L9" s="9" t="s">
        <v>73</v>
      </c>
    </row>
    <row r="10" spans="1:21" x14ac:dyDescent="0.35">
      <c r="A10" t="s">
        <v>13</v>
      </c>
      <c r="B10">
        <v>44215</v>
      </c>
      <c r="C10">
        <v>591</v>
      </c>
      <c r="D10" t="s">
        <v>14</v>
      </c>
      <c r="E10">
        <v>34970</v>
      </c>
      <c r="K10" s="9" t="s">
        <v>70</v>
      </c>
      <c r="L10" t="s">
        <v>5</v>
      </c>
      <c r="M10" t="s">
        <v>13</v>
      </c>
      <c r="N10" t="s">
        <v>22</v>
      </c>
      <c r="O10" t="s">
        <v>23</v>
      </c>
      <c r="P10" t="s">
        <v>42</v>
      </c>
      <c r="Q10" t="s">
        <v>32</v>
      </c>
      <c r="R10" t="s">
        <v>28</v>
      </c>
      <c r="S10" t="s">
        <v>24</v>
      </c>
      <c r="T10" t="s">
        <v>41</v>
      </c>
      <c r="U10" t="s">
        <v>71</v>
      </c>
    </row>
    <row r="11" spans="1:21" x14ac:dyDescent="0.35">
      <c r="A11" t="s">
        <v>13</v>
      </c>
      <c r="B11">
        <v>44217</v>
      </c>
      <c r="C11">
        <v>596</v>
      </c>
      <c r="D11" t="s">
        <v>15</v>
      </c>
      <c r="E11">
        <v>34545.449999999997</v>
      </c>
      <c r="K11" s="10" t="s">
        <v>31</v>
      </c>
      <c r="L11" s="31">
        <v>14000</v>
      </c>
      <c r="M11" s="31"/>
      <c r="N11" s="31"/>
      <c r="O11" s="31"/>
      <c r="P11" s="31"/>
      <c r="Q11" s="31"/>
      <c r="R11" s="31"/>
      <c r="S11" s="31"/>
      <c r="T11" s="31"/>
      <c r="U11" s="31">
        <v>14000</v>
      </c>
    </row>
    <row r="12" spans="1:21" x14ac:dyDescent="0.35">
      <c r="A12" t="s">
        <v>13</v>
      </c>
      <c r="B12">
        <v>44252</v>
      </c>
      <c r="C12">
        <v>592</v>
      </c>
      <c r="D12" t="s">
        <v>16</v>
      </c>
      <c r="E12">
        <v>25196.36</v>
      </c>
      <c r="K12" s="10" t="s">
        <v>29</v>
      </c>
      <c r="L12" s="31">
        <v>15000</v>
      </c>
      <c r="M12" s="31"/>
      <c r="N12" s="31"/>
      <c r="O12" s="31"/>
      <c r="P12" s="31"/>
      <c r="Q12" s="31"/>
      <c r="R12" s="31">
        <v>3000</v>
      </c>
      <c r="S12" s="31"/>
      <c r="T12" s="31"/>
      <c r="U12" s="31">
        <v>18000</v>
      </c>
    </row>
    <row r="13" spans="1:21" x14ac:dyDescent="0.35">
      <c r="A13" t="s">
        <v>13</v>
      </c>
      <c r="B13">
        <v>44255</v>
      </c>
      <c r="C13">
        <v>569</v>
      </c>
      <c r="D13" t="s">
        <v>17</v>
      </c>
      <c r="E13">
        <v>24913.64</v>
      </c>
      <c r="K13" s="10" t="s">
        <v>40</v>
      </c>
      <c r="L13" s="31"/>
      <c r="M13" s="31"/>
      <c r="N13" s="31"/>
      <c r="O13" s="31"/>
      <c r="P13" s="31"/>
      <c r="Q13" s="31">
        <v>2660</v>
      </c>
      <c r="R13" s="31"/>
      <c r="S13" s="31"/>
      <c r="T13" s="31"/>
      <c r="U13" s="31">
        <v>2660</v>
      </c>
    </row>
    <row r="14" spans="1:21" x14ac:dyDescent="0.35">
      <c r="A14" t="s">
        <v>13</v>
      </c>
      <c r="B14">
        <v>44255</v>
      </c>
      <c r="C14">
        <v>594</v>
      </c>
      <c r="D14" t="s">
        <v>18</v>
      </c>
      <c r="E14">
        <v>7000</v>
      </c>
      <c r="K14" s="10" t="s">
        <v>18</v>
      </c>
      <c r="L14" s="31"/>
      <c r="M14" s="31">
        <v>21545.45</v>
      </c>
      <c r="N14" s="31"/>
      <c r="O14" s="31">
        <v>154516.35999999999</v>
      </c>
      <c r="P14" s="31"/>
      <c r="Q14" s="31"/>
      <c r="R14" s="31"/>
      <c r="S14" s="31"/>
      <c r="T14" s="31"/>
      <c r="U14" s="31">
        <v>176061.81</v>
      </c>
    </row>
    <row r="15" spans="1:21" x14ac:dyDescent="0.35">
      <c r="A15" t="s">
        <v>13</v>
      </c>
      <c r="B15">
        <v>44265</v>
      </c>
      <c r="C15">
        <v>611</v>
      </c>
      <c r="D15" t="s">
        <v>19</v>
      </c>
      <c r="E15">
        <v>14545.45</v>
      </c>
      <c r="K15" s="10" t="s">
        <v>16</v>
      </c>
      <c r="L15" s="31"/>
      <c r="M15" s="31">
        <v>25196.36</v>
      </c>
      <c r="N15" s="31"/>
      <c r="O15" s="31">
        <v>18946.36</v>
      </c>
      <c r="P15" s="31"/>
      <c r="Q15" s="31"/>
      <c r="R15" s="31"/>
      <c r="S15" s="31"/>
      <c r="T15" s="31"/>
      <c r="U15" s="31">
        <v>44142.720000000001</v>
      </c>
    </row>
    <row r="16" spans="1:21" x14ac:dyDescent="0.35">
      <c r="A16" t="s">
        <v>13</v>
      </c>
      <c r="B16">
        <v>44276</v>
      </c>
      <c r="C16">
        <v>614</v>
      </c>
      <c r="D16" t="s">
        <v>20</v>
      </c>
      <c r="E16">
        <v>17943.64</v>
      </c>
      <c r="K16" s="10" t="s">
        <v>19</v>
      </c>
      <c r="L16" s="31"/>
      <c r="M16" s="31">
        <v>14545.45</v>
      </c>
      <c r="N16" s="31"/>
      <c r="O16" s="31"/>
      <c r="P16" s="31"/>
      <c r="Q16" s="31">
        <v>3165.4500000000003</v>
      </c>
      <c r="R16" s="31"/>
      <c r="S16" s="31"/>
      <c r="T16" s="31"/>
      <c r="U16" s="31">
        <v>17710.900000000001</v>
      </c>
    </row>
    <row r="17" spans="1:21" x14ac:dyDescent="0.35">
      <c r="A17" t="s">
        <v>13</v>
      </c>
      <c r="B17">
        <v>44286</v>
      </c>
      <c r="C17">
        <v>546</v>
      </c>
      <c r="D17" t="s">
        <v>21</v>
      </c>
      <c r="E17">
        <v>32036.36</v>
      </c>
      <c r="K17" s="10" t="s">
        <v>14</v>
      </c>
      <c r="L17" s="31"/>
      <c r="M17" s="31">
        <v>49515.45</v>
      </c>
      <c r="N17" s="31"/>
      <c r="O17" s="31">
        <v>77258.179999999993</v>
      </c>
      <c r="P17" s="31"/>
      <c r="Q17" s="31"/>
      <c r="R17" s="31"/>
      <c r="S17" s="31"/>
      <c r="T17" s="31"/>
      <c r="U17" s="31">
        <v>126773.62999999999</v>
      </c>
    </row>
    <row r="18" spans="1:21" x14ac:dyDescent="0.35">
      <c r="A18" t="s">
        <v>22</v>
      </c>
      <c r="B18">
        <v>44264</v>
      </c>
      <c r="C18">
        <v>610</v>
      </c>
      <c r="D18" t="s">
        <v>12</v>
      </c>
      <c r="E18">
        <v>84200</v>
      </c>
      <c r="K18" s="10" t="s">
        <v>44</v>
      </c>
      <c r="L18" s="31">
        <v>7000</v>
      </c>
      <c r="M18" s="31"/>
      <c r="N18" s="31"/>
      <c r="O18" s="31"/>
      <c r="P18" s="31"/>
      <c r="Q18" s="31"/>
      <c r="R18" s="31"/>
      <c r="S18" s="31"/>
      <c r="T18" s="31"/>
      <c r="U18" s="31">
        <v>7000</v>
      </c>
    </row>
    <row r="19" spans="1:21" x14ac:dyDescent="0.35">
      <c r="A19" t="s">
        <v>23</v>
      </c>
      <c r="B19">
        <v>44265</v>
      </c>
      <c r="C19">
        <v>611</v>
      </c>
      <c r="D19" t="s">
        <v>14</v>
      </c>
      <c r="E19">
        <v>77258.179999999993</v>
      </c>
      <c r="K19" s="10" t="s">
        <v>15</v>
      </c>
      <c r="L19" s="31"/>
      <c r="M19" s="31">
        <v>34545.449999999997</v>
      </c>
      <c r="N19" s="31"/>
      <c r="O19" s="31">
        <v>12869.09</v>
      </c>
      <c r="P19" s="31"/>
      <c r="Q19" s="31"/>
      <c r="R19" s="31"/>
      <c r="S19" s="31"/>
      <c r="T19" s="31"/>
      <c r="U19" s="31">
        <v>47414.539999999994</v>
      </c>
    </row>
    <row r="20" spans="1:21" x14ac:dyDescent="0.35">
      <c r="A20" t="s">
        <v>24</v>
      </c>
      <c r="B20">
        <v>44241</v>
      </c>
      <c r="C20">
        <v>575</v>
      </c>
      <c r="D20" t="s">
        <v>25</v>
      </c>
      <c r="E20">
        <v>8015.91</v>
      </c>
      <c r="K20" s="10" t="s">
        <v>25</v>
      </c>
      <c r="L20" s="31"/>
      <c r="M20" s="31"/>
      <c r="N20" s="31"/>
      <c r="O20" s="31"/>
      <c r="P20" s="31"/>
      <c r="Q20" s="31"/>
      <c r="R20" s="31"/>
      <c r="S20" s="31">
        <v>35288.639999999999</v>
      </c>
      <c r="T20" s="31"/>
      <c r="U20" s="31">
        <v>35288.639999999999</v>
      </c>
    </row>
    <row r="21" spans="1:21" x14ac:dyDescent="0.35">
      <c r="A21" t="s">
        <v>24</v>
      </c>
      <c r="B21">
        <v>44259</v>
      </c>
      <c r="C21">
        <v>608</v>
      </c>
      <c r="D21" t="s">
        <v>25</v>
      </c>
      <c r="E21">
        <v>27272.73</v>
      </c>
      <c r="K21" s="10" t="s">
        <v>33</v>
      </c>
      <c r="L21" s="31"/>
      <c r="M21" s="31"/>
      <c r="N21" s="31"/>
      <c r="O21" s="31"/>
      <c r="P21" s="31"/>
      <c r="Q21" s="31">
        <v>707.27</v>
      </c>
      <c r="R21" s="31"/>
      <c r="S21" s="31">
        <v>54545.46</v>
      </c>
      <c r="T21" s="31"/>
      <c r="U21" s="31">
        <v>55252.729999999996</v>
      </c>
    </row>
    <row r="22" spans="1:21" x14ac:dyDescent="0.35">
      <c r="A22" t="s">
        <v>5</v>
      </c>
      <c r="B22">
        <v>44292</v>
      </c>
      <c r="C22">
        <v>616</v>
      </c>
      <c r="D22" t="s">
        <v>26</v>
      </c>
      <c r="E22">
        <v>6000</v>
      </c>
      <c r="K22" s="10" t="s">
        <v>8</v>
      </c>
      <c r="L22" s="31">
        <v>7000</v>
      </c>
      <c r="M22" s="31"/>
      <c r="N22" s="31"/>
      <c r="O22" s="31"/>
      <c r="P22" s="31"/>
      <c r="Q22" s="31"/>
      <c r="R22" s="31"/>
      <c r="S22" s="31"/>
      <c r="T22" s="31"/>
      <c r="U22" s="31">
        <v>7000</v>
      </c>
    </row>
    <row r="23" spans="1:21" x14ac:dyDescent="0.35">
      <c r="A23" t="s">
        <v>13</v>
      </c>
      <c r="B23">
        <v>44292</v>
      </c>
      <c r="C23">
        <v>611</v>
      </c>
      <c r="D23" t="s">
        <v>14</v>
      </c>
      <c r="E23">
        <v>14545.45</v>
      </c>
      <c r="K23" s="10" t="s">
        <v>7</v>
      </c>
      <c r="L23" s="31">
        <v>6000</v>
      </c>
      <c r="M23" s="31"/>
      <c r="N23" s="31"/>
      <c r="O23" s="31"/>
      <c r="P23" s="31">
        <v>10909.09</v>
      </c>
      <c r="Q23" s="31"/>
      <c r="R23" s="31"/>
      <c r="S23" s="31"/>
      <c r="T23" s="31"/>
      <c r="U23" s="31">
        <v>16909.09</v>
      </c>
    </row>
    <row r="24" spans="1:21" x14ac:dyDescent="0.35">
      <c r="A24" t="s">
        <v>22</v>
      </c>
      <c r="B24">
        <v>44300</v>
      </c>
      <c r="C24">
        <v>618</v>
      </c>
      <c r="D24" t="s">
        <v>20</v>
      </c>
      <c r="E24">
        <v>36533.64</v>
      </c>
      <c r="K24" s="10" t="s">
        <v>12</v>
      </c>
      <c r="L24" s="31">
        <v>6000</v>
      </c>
      <c r="M24" s="31"/>
      <c r="N24" s="31">
        <v>84200</v>
      </c>
      <c r="O24" s="31">
        <v>20719.09</v>
      </c>
      <c r="P24" s="31"/>
      <c r="Q24" s="31"/>
      <c r="R24" s="31"/>
      <c r="S24" s="31"/>
      <c r="T24" s="31"/>
      <c r="U24" s="31">
        <v>110919.09</v>
      </c>
    </row>
    <row r="25" spans="1:21" x14ac:dyDescent="0.35">
      <c r="A25" t="s">
        <v>22</v>
      </c>
      <c r="B25">
        <v>44310</v>
      </c>
      <c r="C25">
        <v>621</v>
      </c>
      <c r="D25" t="s">
        <v>27</v>
      </c>
      <c r="E25">
        <v>46845.45</v>
      </c>
      <c r="K25" s="10" t="s">
        <v>45</v>
      </c>
      <c r="L25" s="31"/>
      <c r="M25" s="31"/>
      <c r="N25" s="31"/>
      <c r="O25" s="31"/>
      <c r="P25" s="31"/>
      <c r="Q25" s="31">
        <v>655</v>
      </c>
      <c r="R25" s="31"/>
      <c r="S25" s="31"/>
      <c r="T25" s="31"/>
      <c r="U25" s="31">
        <v>655</v>
      </c>
    </row>
    <row r="26" spans="1:21" x14ac:dyDescent="0.35">
      <c r="A26" t="s">
        <v>23</v>
      </c>
      <c r="B26">
        <v>44292</v>
      </c>
      <c r="C26">
        <v>611</v>
      </c>
      <c r="D26" t="s">
        <v>18</v>
      </c>
      <c r="E26">
        <v>77258.179999999993</v>
      </c>
      <c r="K26" s="10" t="s">
        <v>20</v>
      </c>
      <c r="L26" s="31"/>
      <c r="M26" s="31">
        <v>17943.64</v>
      </c>
      <c r="N26" s="31">
        <v>36533.64</v>
      </c>
      <c r="O26" s="31">
        <v>20047.28</v>
      </c>
      <c r="P26" s="31"/>
      <c r="Q26" s="31"/>
      <c r="R26" s="31"/>
      <c r="S26" s="31"/>
      <c r="T26" s="31"/>
      <c r="U26" s="31">
        <v>74524.56</v>
      </c>
    </row>
    <row r="27" spans="1:21" x14ac:dyDescent="0.35">
      <c r="A27" t="s">
        <v>23</v>
      </c>
      <c r="B27">
        <v>44293</v>
      </c>
      <c r="C27">
        <v>617</v>
      </c>
      <c r="D27" t="s">
        <v>12</v>
      </c>
      <c r="E27">
        <v>20719.09</v>
      </c>
      <c r="K27" s="10" t="s">
        <v>34</v>
      </c>
      <c r="L27" s="31"/>
      <c r="M27" s="31"/>
      <c r="N27" s="31"/>
      <c r="O27" s="31"/>
      <c r="P27" s="31"/>
      <c r="Q27" s="31"/>
      <c r="R27" s="31"/>
      <c r="S27" s="31">
        <v>36363.64</v>
      </c>
      <c r="T27" s="31"/>
      <c r="U27" s="31">
        <v>36363.64</v>
      </c>
    </row>
    <row r="28" spans="1:21" x14ac:dyDescent="0.35">
      <c r="A28" t="s">
        <v>23</v>
      </c>
      <c r="B28">
        <v>44298</v>
      </c>
      <c r="C28">
        <v>612</v>
      </c>
      <c r="D28" t="s">
        <v>15</v>
      </c>
      <c r="E28">
        <v>12869.09</v>
      </c>
      <c r="K28" s="10" t="s">
        <v>43</v>
      </c>
      <c r="L28" s="31">
        <v>4000</v>
      </c>
      <c r="M28" s="31"/>
      <c r="N28" s="31"/>
      <c r="O28" s="31"/>
      <c r="P28" s="31"/>
      <c r="Q28" s="31"/>
      <c r="R28" s="31"/>
      <c r="S28" s="31"/>
      <c r="T28" s="31"/>
      <c r="U28" s="31">
        <v>4000</v>
      </c>
    </row>
    <row r="29" spans="1:21" x14ac:dyDescent="0.35">
      <c r="A29" t="s">
        <v>28</v>
      </c>
      <c r="B29">
        <v>44340</v>
      </c>
      <c r="C29">
        <v>630</v>
      </c>
      <c r="D29" t="s">
        <v>29</v>
      </c>
      <c r="E29">
        <v>1000</v>
      </c>
      <c r="K29" s="10" t="s">
        <v>9</v>
      </c>
      <c r="L29" s="31">
        <v>4000</v>
      </c>
      <c r="M29" s="31"/>
      <c r="N29" s="31"/>
      <c r="O29" s="31"/>
      <c r="P29" s="31"/>
      <c r="Q29" s="31"/>
      <c r="R29" s="31"/>
      <c r="S29" s="31"/>
      <c r="T29" s="31"/>
      <c r="U29" s="31">
        <v>4000</v>
      </c>
    </row>
    <row r="30" spans="1:21" x14ac:dyDescent="0.35">
      <c r="A30" t="s">
        <v>28</v>
      </c>
      <c r="B30">
        <v>44346</v>
      </c>
      <c r="C30">
        <v>630</v>
      </c>
      <c r="D30" t="s">
        <v>29</v>
      </c>
      <c r="E30">
        <v>1000</v>
      </c>
      <c r="K30" s="10" t="s">
        <v>38</v>
      </c>
      <c r="L30" s="31">
        <v>12000</v>
      </c>
      <c r="M30" s="31"/>
      <c r="N30" s="31"/>
      <c r="O30" s="31"/>
      <c r="P30" s="31"/>
      <c r="Q30" s="31"/>
      <c r="R30" s="31"/>
      <c r="S30" s="31"/>
      <c r="T30" s="31"/>
      <c r="U30" s="31">
        <v>12000</v>
      </c>
    </row>
    <row r="31" spans="1:21" x14ac:dyDescent="0.35">
      <c r="A31" t="s">
        <v>28</v>
      </c>
      <c r="B31">
        <v>44346</v>
      </c>
      <c r="C31">
        <v>632</v>
      </c>
      <c r="D31" t="s">
        <v>30</v>
      </c>
      <c r="E31">
        <v>1000</v>
      </c>
      <c r="K31" s="10" t="s">
        <v>30</v>
      </c>
      <c r="L31" s="31"/>
      <c r="M31" s="31"/>
      <c r="N31" s="31"/>
      <c r="O31" s="31"/>
      <c r="P31" s="31"/>
      <c r="Q31" s="31"/>
      <c r="R31" s="31">
        <v>1000</v>
      </c>
      <c r="S31" s="31"/>
      <c r="T31" s="31"/>
      <c r="U31" s="31">
        <v>1000</v>
      </c>
    </row>
    <row r="32" spans="1:21" x14ac:dyDescent="0.35">
      <c r="A32" t="s">
        <v>5</v>
      </c>
      <c r="B32">
        <v>44326</v>
      </c>
      <c r="C32">
        <v>623</v>
      </c>
      <c r="D32" t="s">
        <v>31</v>
      </c>
      <c r="E32">
        <v>7000</v>
      </c>
      <c r="K32" s="10" t="s">
        <v>10</v>
      </c>
      <c r="L32" s="31">
        <v>1000</v>
      </c>
      <c r="M32" s="31"/>
      <c r="N32" s="31"/>
      <c r="O32" s="31"/>
      <c r="P32" s="31"/>
      <c r="Q32" s="31"/>
      <c r="R32" s="31"/>
      <c r="S32" s="31"/>
      <c r="T32" s="31"/>
      <c r="U32" s="31">
        <v>1000</v>
      </c>
    </row>
    <row r="33" spans="1:21" x14ac:dyDescent="0.35">
      <c r="A33" t="s">
        <v>5</v>
      </c>
      <c r="B33">
        <v>44327</v>
      </c>
      <c r="C33">
        <v>623</v>
      </c>
      <c r="D33" t="s">
        <v>31</v>
      </c>
      <c r="E33">
        <v>7000</v>
      </c>
      <c r="K33" s="10" t="s">
        <v>39</v>
      </c>
      <c r="L33" s="31"/>
      <c r="M33" s="31"/>
      <c r="N33" s="31"/>
      <c r="O33" s="31">
        <v>9711.82</v>
      </c>
      <c r="P33" s="31"/>
      <c r="Q33" s="31"/>
      <c r="R33" s="31"/>
      <c r="S33" s="31"/>
      <c r="T33" s="31"/>
      <c r="U33" s="31">
        <v>9711.82</v>
      </c>
    </row>
    <row r="34" spans="1:21" x14ac:dyDescent="0.35">
      <c r="A34" t="s">
        <v>5</v>
      </c>
      <c r="B34">
        <v>44340</v>
      </c>
      <c r="C34">
        <v>630</v>
      </c>
      <c r="D34" t="s">
        <v>29</v>
      </c>
      <c r="E34">
        <v>5000</v>
      </c>
      <c r="K34" s="10" t="s">
        <v>27</v>
      </c>
      <c r="L34" s="31"/>
      <c r="M34" s="31"/>
      <c r="N34" s="31">
        <v>46845.45</v>
      </c>
      <c r="O34" s="31"/>
      <c r="P34" s="31"/>
      <c r="Q34" s="31">
        <v>126</v>
      </c>
      <c r="R34" s="31"/>
      <c r="S34" s="31"/>
      <c r="T34" s="31"/>
      <c r="U34" s="31">
        <v>46971.45</v>
      </c>
    </row>
    <row r="35" spans="1:21" x14ac:dyDescent="0.35">
      <c r="A35" t="s">
        <v>5</v>
      </c>
      <c r="B35">
        <v>44346</v>
      </c>
      <c r="C35">
        <v>630</v>
      </c>
      <c r="D35" t="s">
        <v>29</v>
      </c>
      <c r="E35">
        <v>5000</v>
      </c>
      <c r="K35" s="10" t="s">
        <v>6</v>
      </c>
      <c r="L35" s="31">
        <v>8000</v>
      </c>
      <c r="M35" s="31"/>
      <c r="N35" s="31"/>
      <c r="O35" s="31"/>
      <c r="P35" s="31"/>
      <c r="Q35" s="31"/>
      <c r="R35" s="31"/>
      <c r="S35" s="31"/>
      <c r="T35" s="31"/>
      <c r="U35" s="31">
        <v>8000</v>
      </c>
    </row>
    <row r="36" spans="1:21" x14ac:dyDescent="0.35">
      <c r="A36" t="s">
        <v>13</v>
      </c>
      <c r="B36">
        <v>44325</v>
      </c>
      <c r="C36">
        <v>611</v>
      </c>
      <c r="D36" t="s">
        <v>18</v>
      </c>
      <c r="E36">
        <v>14545.45</v>
      </c>
      <c r="K36" s="10" t="s">
        <v>17</v>
      </c>
      <c r="L36" s="31"/>
      <c r="M36" s="31">
        <v>24913.64</v>
      </c>
      <c r="N36" s="31"/>
      <c r="O36" s="31"/>
      <c r="P36" s="31"/>
      <c r="Q36" s="31"/>
      <c r="R36" s="31"/>
      <c r="S36" s="31"/>
      <c r="T36" s="31"/>
      <c r="U36" s="31">
        <v>24913.64</v>
      </c>
    </row>
    <row r="37" spans="1:21" x14ac:dyDescent="0.35">
      <c r="A37" t="s">
        <v>23</v>
      </c>
      <c r="B37">
        <v>44325</v>
      </c>
      <c r="C37">
        <v>611</v>
      </c>
      <c r="D37" t="s">
        <v>18</v>
      </c>
      <c r="E37">
        <v>77258.179999999993</v>
      </c>
      <c r="K37" s="10" t="s">
        <v>37</v>
      </c>
      <c r="L37" s="31">
        <v>6000</v>
      </c>
      <c r="M37" s="31"/>
      <c r="N37" s="31"/>
      <c r="O37" s="31"/>
      <c r="P37" s="31"/>
      <c r="Q37" s="31"/>
      <c r="R37" s="31"/>
      <c r="S37" s="31"/>
      <c r="T37" s="31"/>
      <c r="U37" s="31">
        <v>6000</v>
      </c>
    </row>
    <row r="38" spans="1:21" x14ac:dyDescent="0.35">
      <c r="A38" t="s">
        <v>23</v>
      </c>
      <c r="B38">
        <v>44335</v>
      </c>
      <c r="C38">
        <v>627</v>
      </c>
      <c r="D38" t="s">
        <v>20</v>
      </c>
      <c r="E38">
        <v>10023.64</v>
      </c>
      <c r="K38" s="10" t="s">
        <v>36</v>
      </c>
      <c r="L38" s="31"/>
      <c r="M38" s="31"/>
      <c r="N38" s="31"/>
      <c r="O38" s="31"/>
      <c r="P38" s="31">
        <v>39090.910000000003</v>
      </c>
      <c r="Q38" s="31"/>
      <c r="R38" s="31"/>
      <c r="S38" s="31">
        <v>18181.82</v>
      </c>
      <c r="T38" s="31"/>
      <c r="U38" s="31">
        <v>57272.73</v>
      </c>
    </row>
    <row r="39" spans="1:21" x14ac:dyDescent="0.35">
      <c r="A39" t="s">
        <v>23</v>
      </c>
      <c r="B39">
        <v>44336</v>
      </c>
      <c r="C39">
        <v>627</v>
      </c>
      <c r="D39" t="s">
        <v>20</v>
      </c>
      <c r="E39">
        <v>10023.64</v>
      </c>
      <c r="K39" s="10" t="s">
        <v>35</v>
      </c>
      <c r="L39" s="31"/>
      <c r="M39" s="31"/>
      <c r="N39" s="31"/>
      <c r="O39" s="31"/>
      <c r="P39" s="31"/>
      <c r="Q39" s="31"/>
      <c r="R39" s="31"/>
      <c r="S39" s="31">
        <v>5000</v>
      </c>
      <c r="T39" s="31">
        <v>105605.45999999999</v>
      </c>
      <c r="U39" s="31">
        <v>110605.45999999999</v>
      </c>
    </row>
    <row r="40" spans="1:21" x14ac:dyDescent="0.35">
      <c r="A40" t="s">
        <v>23</v>
      </c>
      <c r="B40">
        <v>44340</v>
      </c>
      <c r="C40">
        <v>626</v>
      </c>
      <c r="D40" t="s">
        <v>21</v>
      </c>
      <c r="E40">
        <v>11909.09</v>
      </c>
      <c r="K40" s="10" t="s">
        <v>26</v>
      </c>
      <c r="L40" s="31">
        <v>6000</v>
      </c>
      <c r="M40" s="31"/>
      <c r="N40" s="31"/>
      <c r="O40" s="31"/>
      <c r="P40" s="31"/>
      <c r="Q40" s="31"/>
      <c r="R40" s="31"/>
      <c r="S40" s="31"/>
      <c r="T40" s="31"/>
      <c r="U40" s="31">
        <v>6000</v>
      </c>
    </row>
    <row r="41" spans="1:21" x14ac:dyDescent="0.35">
      <c r="A41" t="s">
        <v>23</v>
      </c>
      <c r="B41">
        <v>44343</v>
      </c>
      <c r="C41">
        <v>625</v>
      </c>
      <c r="D41" t="s">
        <v>16</v>
      </c>
      <c r="E41">
        <v>18946.36</v>
      </c>
      <c r="K41" s="10" t="s">
        <v>11</v>
      </c>
      <c r="L41" s="31">
        <v>6000</v>
      </c>
      <c r="M41" s="31"/>
      <c r="N41" s="31"/>
      <c r="O41" s="31"/>
      <c r="P41" s="31"/>
      <c r="Q41" s="31"/>
      <c r="R41" s="31"/>
      <c r="S41" s="31"/>
      <c r="T41" s="31"/>
      <c r="U41" s="31">
        <v>6000</v>
      </c>
    </row>
    <row r="42" spans="1:21" x14ac:dyDescent="0.35">
      <c r="A42" t="s">
        <v>32</v>
      </c>
      <c r="B42">
        <v>44339</v>
      </c>
      <c r="C42">
        <v>628</v>
      </c>
      <c r="D42" t="s">
        <v>33</v>
      </c>
      <c r="E42">
        <v>707.27</v>
      </c>
      <c r="K42" s="10" t="s">
        <v>21</v>
      </c>
      <c r="L42" s="31"/>
      <c r="M42" s="31">
        <v>32036.36</v>
      </c>
      <c r="N42" s="31"/>
      <c r="O42" s="31">
        <v>11909.09</v>
      </c>
      <c r="P42" s="31"/>
      <c r="Q42" s="31"/>
      <c r="R42" s="31"/>
      <c r="S42" s="31"/>
      <c r="T42" s="31"/>
      <c r="U42" s="31">
        <v>43945.45</v>
      </c>
    </row>
    <row r="43" spans="1:21" x14ac:dyDescent="0.35">
      <c r="A43" t="s">
        <v>32</v>
      </c>
      <c r="B43">
        <v>44339</v>
      </c>
      <c r="C43">
        <v>629</v>
      </c>
      <c r="D43" t="s">
        <v>27</v>
      </c>
      <c r="E43">
        <v>126</v>
      </c>
      <c r="K43" s="10" t="s">
        <v>71</v>
      </c>
      <c r="L43" s="31">
        <v>102000</v>
      </c>
      <c r="M43" s="31">
        <v>220241.8</v>
      </c>
      <c r="N43" s="31">
        <v>167579.09</v>
      </c>
      <c r="O43" s="31">
        <v>325977.27</v>
      </c>
      <c r="P43" s="31">
        <v>50000</v>
      </c>
      <c r="Q43" s="31">
        <v>7313.7200000000012</v>
      </c>
      <c r="R43" s="31">
        <v>4000</v>
      </c>
      <c r="S43" s="31">
        <v>149379.56</v>
      </c>
      <c r="T43" s="31">
        <v>105605.45999999999</v>
      </c>
      <c r="U43" s="31">
        <v>1132096.8999999999</v>
      </c>
    </row>
    <row r="44" spans="1:21" x14ac:dyDescent="0.35">
      <c r="A44" t="s">
        <v>24</v>
      </c>
      <c r="B44">
        <v>44318</v>
      </c>
      <c r="C44">
        <v>608</v>
      </c>
      <c r="D44" t="s">
        <v>33</v>
      </c>
      <c r="E44">
        <v>27272.73</v>
      </c>
    </row>
    <row r="45" spans="1:21" x14ac:dyDescent="0.35">
      <c r="A45" t="s">
        <v>24</v>
      </c>
      <c r="B45">
        <v>44334</v>
      </c>
      <c r="C45">
        <v>586</v>
      </c>
      <c r="D45" t="s">
        <v>34</v>
      </c>
      <c r="E45">
        <v>18181.82</v>
      </c>
    </row>
    <row r="46" spans="1:21" x14ac:dyDescent="0.35">
      <c r="A46" t="s">
        <v>24</v>
      </c>
      <c r="B46">
        <v>44335</v>
      </c>
      <c r="C46">
        <v>586</v>
      </c>
      <c r="D46" t="s">
        <v>34</v>
      </c>
      <c r="E46">
        <v>18181.82</v>
      </c>
    </row>
    <row r="47" spans="1:21" x14ac:dyDescent="0.35">
      <c r="A47" t="s">
        <v>24</v>
      </c>
      <c r="B47">
        <v>44339</v>
      </c>
      <c r="C47">
        <v>608</v>
      </c>
      <c r="D47" t="s">
        <v>33</v>
      </c>
      <c r="E47">
        <v>27272.73</v>
      </c>
    </row>
    <row r="48" spans="1:21" x14ac:dyDescent="0.35">
      <c r="A48" t="s">
        <v>24</v>
      </c>
      <c r="B48">
        <v>44340</v>
      </c>
      <c r="C48">
        <v>631</v>
      </c>
      <c r="D48" t="s">
        <v>35</v>
      </c>
      <c r="E48">
        <v>5000</v>
      </c>
    </row>
    <row r="49" spans="1:5" x14ac:dyDescent="0.35">
      <c r="A49" t="s">
        <v>24</v>
      </c>
      <c r="B49">
        <v>44342</v>
      </c>
      <c r="C49">
        <v>586</v>
      </c>
      <c r="D49" t="s">
        <v>36</v>
      </c>
      <c r="E49">
        <v>18181.82</v>
      </c>
    </row>
    <row r="50" spans="1:5" x14ac:dyDescent="0.35">
      <c r="A50" t="s">
        <v>5</v>
      </c>
      <c r="B50">
        <v>44389</v>
      </c>
      <c r="C50">
        <v>653</v>
      </c>
      <c r="D50" t="s">
        <v>37</v>
      </c>
      <c r="E50">
        <v>6000</v>
      </c>
    </row>
    <row r="51" spans="1:5" x14ac:dyDescent="0.35">
      <c r="A51" t="s">
        <v>5</v>
      </c>
      <c r="B51">
        <v>44399</v>
      </c>
      <c r="C51">
        <v>658</v>
      </c>
      <c r="D51" t="s">
        <v>38</v>
      </c>
      <c r="E51">
        <v>6000</v>
      </c>
    </row>
    <row r="52" spans="1:5" x14ac:dyDescent="0.35">
      <c r="A52" t="s">
        <v>5</v>
      </c>
      <c r="B52">
        <v>44402</v>
      </c>
      <c r="C52">
        <v>658</v>
      </c>
      <c r="D52" t="s">
        <v>38</v>
      </c>
      <c r="E52">
        <v>6000</v>
      </c>
    </row>
    <row r="53" spans="1:5" x14ac:dyDescent="0.35">
      <c r="A53" t="s">
        <v>23</v>
      </c>
      <c r="B53">
        <v>44397</v>
      </c>
      <c r="C53">
        <v>654</v>
      </c>
      <c r="D53" t="s">
        <v>39</v>
      </c>
      <c r="E53">
        <v>9711.82</v>
      </c>
    </row>
    <row r="54" spans="1:5" x14ac:dyDescent="0.35">
      <c r="A54" t="s">
        <v>32</v>
      </c>
      <c r="B54">
        <v>44382</v>
      </c>
      <c r="C54">
        <v>646</v>
      </c>
      <c r="D54" t="s">
        <v>40</v>
      </c>
      <c r="E54">
        <v>2660</v>
      </c>
    </row>
    <row r="55" spans="1:5" x14ac:dyDescent="0.35">
      <c r="A55" t="s">
        <v>32</v>
      </c>
      <c r="B55">
        <v>44397</v>
      </c>
      <c r="C55">
        <v>657</v>
      </c>
      <c r="D55" t="s">
        <v>19</v>
      </c>
      <c r="E55">
        <v>2516.36</v>
      </c>
    </row>
    <row r="56" spans="1:5" x14ac:dyDescent="0.35">
      <c r="A56" t="s">
        <v>32</v>
      </c>
      <c r="B56">
        <v>44397</v>
      </c>
      <c r="C56">
        <v>657</v>
      </c>
      <c r="D56" t="s">
        <v>19</v>
      </c>
      <c r="E56">
        <v>649.09</v>
      </c>
    </row>
    <row r="57" spans="1:5" x14ac:dyDescent="0.35">
      <c r="A57" t="s">
        <v>41</v>
      </c>
      <c r="B57">
        <v>44397</v>
      </c>
      <c r="C57">
        <v>652</v>
      </c>
      <c r="D57" t="s">
        <v>35</v>
      </c>
      <c r="E57">
        <v>35201.82</v>
      </c>
    </row>
    <row r="58" spans="1:5" x14ac:dyDescent="0.35">
      <c r="A58" t="s">
        <v>41</v>
      </c>
      <c r="B58">
        <v>44399</v>
      </c>
      <c r="C58">
        <v>652</v>
      </c>
      <c r="D58" t="s">
        <v>35</v>
      </c>
      <c r="E58">
        <v>35201.82</v>
      </c>
    </row>
    <row r="59" spans="1:5" x14ac:dyDescent="0.35">
      <c r="A59" t="s">
        <v>41</v>
      </c>
      <c r="B59">
        <v>44403</v>
      </c>
      <c r="C59">
        <v>652</v>
      </c>
      <c r="D59" t="s">
        <v>35</v>
      </c>
      <c r="E59">
        <v>35201.82</v>
      </c>
    </row>
    <row r="60" spans="1:5" x14ac:dyDescent="0.35">
      <c r="A60" t="s">
        <v>42</v>
      </c>
      <c r="B60">
        <v>44383</v>
      </c>
      <c r="C60">
        <v>648</v>
      </c>
      <c r="D60" t="s">
        <v>36</v>
      </c>
      <c r="E60">
        <v>18181.82</v>
      </c>
    </row>
    <row r="61" spans="1:5" x14ac:dyDescent="0.35">
      <c r="A61" t="s">
        <v>42</v>
      </c>
      <c r="B61">
        <v>44402</v>
      </c>
      <c r="C61">
        <v>659</v>
      </c>
      <c r="D61" t="s">
        <v>7</v>
      </c>
      <c r="E61">
        <v>10909.09</v>
      </c>
    </row>
    <row r="62" spans="1:5" x14ac:dyDescent="0.35">
      <c r="A62" t="s">
        <v>28</v>
      </c>
      <c r="B62">
        <v>44355</v>
      </c>
      <c r="C62">
        <v>630</v>
      </c>
      <c r="D62" t="s">
        <v>29</v>
      </c>
      <c r="E62">
        <v>1000</v>
      </c>
    </row>
    <row r="63" spans="1:5" x14ac:dyDescent="0.35">
      <c r="A63" t="s">
        <v>5</v>
      </c>
      <c r="B63">
        <v>44355</v>
      </c>
      <c r="C63">
        <v>630</v>
      </c>
      <c r="D63" t="s">
        <v>29</v>
      </c>
      <c r="E63">
        <v>5000</v>
      </c>
    </row>
    <row r="64" spans="1:5" x14ac:dyDescent="0.35">
      <c r="A64" t="s">
        <v>5</v>
      </c>
      <c r="B64">
        <v>44364</v>
      </c>
      <c r="C64">
        <v>636</v>
      </c>
      <c r="D64" t="s">
        <v>43</v>
      </c>
      <c r="E64">
        <v>4000</v>
      </c>
    </row>
    <row r="65" spans="1:5" x14ac:dyDescent="0.35">
      <c r="A65" t="s">
        <v>5</v>
      </c>
      <c r="B65">
        <v>44367</v>
      </c>
      <c r="C65">
        <v>642</v>
      </c>
      <c r="D65" t="s">
        <v>44</v>
      </c>
      <c r="E65">
        <v>2000</v>
      </c>
    </row>
    <row r="66" spans="1:5" x14ac:dyDescent="0.35">
      <c r="A66" t="s">
        <v>5</v>
      </c>
      <c r="B66">
        <v>44370</v>
      </c>
      <c r="C66">
        <v>643</v>
      </c>
      <c r="D66" t="s">
        <v>44</v>
      </c>
      <c r="E66">
        <v>5000</v>
      </c>
    </row>
    <row r="67" spans="1:5" x14ac:dyDescent="0.35">
      <c r="A67" t="s">
        <v>32</v>
      </c>
      <c r="B67">
        <v>44356</v>
      </c>
      <c r="C67">
        <v>633</v>
      </c>
      <c r="D67" t="s">
        <v>45</v>
      </c>
      <c r="E67">
        <v>655</v>
      </c>
    </row>
    <row r="68" spans="1:5" x14ac:dyDescent="0.35">
      <c r="A68" t="s">
        <v>42</v>
      </c>
      <c r="B68">
        <v>44362</v>
      </c>
      <c r="C68">
        <v>635</v>
      </c>
      <c r="D68" t="s">
        <v>36</v>
      </c>
      <c r="E68">
        <v>20909.09</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7CE94-8F5C-4F17-AF66-F8986C5F8B08}">
  <dimension ref="A1:AP68"/>
  <sheetViews>
    <sheetView tabSelected="1" workbookViewId="0">
      <selection activeCell="AP14" sqref="AP14"/>
    </sheetView>
  </sheetViews>
  <sheetFormatPr defaultRowHeight="14.5" x14ac:dyDescent="0.35"/>
  <cols>
    <col min="1" max="2" width="9.36328125" bestFit="1" customWidth="1"/>
    <col min="3" max="3" width="11.26953125" bestFit="1" customWidth="1"/>
    <col min="4" max="4" width="10.26953125" bestFit="1" customWidth="1"/>
    <col min="5" max="5" width="12.1796875" bestFit="1" customWidth="1"/>
    <col min="7" max="7" width="14.08984375" customWidth="1"/>
    <col min="10" max="10" width="8.08984375" bestFit="1" customWidth="1"/>
    <col min="11" max="13" width="18.81640625" customWidth="1"/>
    <col min="14" max="14" width="11.90625" customWidth="1"/>
    <col min="15" max="17" width="17.36328125" customWidth="1"/>
    <col min="23" max="23" width="16.6328125" customWidth="1"/>
    <col min="29" max="29" width="19.54296875" customWidth="1"/>
    <col min="32" max="32" width="22.26953125" customWidth="1"/>
    <col min="33" max="33" width="35.1796875" customWidth="1"/>
    <col min="34" max="34" width="13.08984375" customWidth="1"/>
    <col min="36" max="36" width="13.1796875" customWidth="1"/>
    <col min="37" max="37" width="8.81640625" customWidth="1"/>
  </cols>
  <sheetData>
    <row r="1" spans="1:42" x14ac:dyDescent="0.35">
      <c r="A1">
        <v>1</v>
      </c>
      <c r="B1">
        <v>2</v>
      </c>
      <c r="C1">
        <v>3</v>
      </c>
      <c r="D1">
        <v>4</v>
      </c>
      <c r="E1">
        <v>5</v>
      </c>
    </row>
    <row r="2" spans="1:42" ht="15.5" x14ac:dyDescent="0.35">
      <c r="A2" s="20" t="s">
        <v>0</v>
      </c>
      <c r="B2" s="20" t="s">
        <v>1</v>
      </c>
      <c r="C2" s="20" t="s">
        <v>2</v>
      </c>
      <c r="D2" s="20" t="s">
        <v>3</v>
      </c>
      <c r="E2" s="20" t="s">
        <v>4</v>
      </c>
      <c r="O2" s="1" t="s">
        <v>55</v>
      </c>
      <c r="P2" s="18" t="s">
        <v>93</v>
      </c>
    </row>
    <row r="3" spans="1:42" ht="15.5" x14ac:dyDescent="0.35">
      <c r="A3" t="s">
        <v>5</v>
      </c>
      <c r="B3">
        <v>44224</v>
      </c>
      <c r="C3">
        <v>595</v>
      </c>
      <c r="D3" t="s">
        <v>6</v>
      </c>
      <c r="E3">
        <v>8000</v>
      </c>
      <c r="G3" s="1" t="s">
        <v>48</v>
      </c>
      <c r="K3" s="1" t="s">
        <v>50</v>
      </c>
      <c r="L3" s="18" t="s">
        <v>92</v>
      </c>
      <c r="M3" s="5"/>
      <c r="O3" s="6" t="s">
        <v>56</v>
      </c>
      <c r="P3" s="6"/>
      <c r="Q3" s="6"/>
      <c r="U3" s="1" t="s">
        <v>53</v>
      </c>
      <c r="AA3" s="1" t="s">
        <v>57</v>
      </c>
    </row>
    <row r="4" spans="1:42" x14ac:dyDescent="0.35">
      <c r="A4" t="s">
        <v>5</v>
      </c>
      <c r="B4">
        <v>44230</v>
      </c>
      <c r="C4">
        <v>600</v>
      </c>
      <c r="D4" t="s">
        <v>7</v>
      </c>
      <c r="E4">
        <v>6000</v>
      </c>
      <c r="G4" s="2" t="s">
        <v>49</v>
      </c>
      <c r="K4" s="6" t="s">
        <v>47</v>
      </c>
      <c r="L4" s="6"/>
      <c r="M4" s="6"/>
      <c r="O4" s="7" t="s">
        <v>0</v>
      </c>
      <c r="P4" s="7" t="s">
        <v>1</v>
      </c>
      <c r="Q4" s="7" t="s">
        <v>1</v>
      </c>
      <c r="U4" s="2" t="s">
        <v>54</v>
      </c>
      <c r="V4" s="6"/>
      <c r="W4" s="6"/>
      <c r="X4" s="6"/>
      <c r="Y4" s="6"/>
      <c r="AA4" s="2" t="s">
        <v>58</v>
      </c>
      <c r="AB4" s="6"/>
      <c r="AC4" s="6"/>
      <c r="AD4" s="6"/>
    </row>
    <row r="5" spans="1:42" x14ac:dyDescent="0.35">
      <c r="A5" t="s">
        <v>5</v>
      </c>
      <c r="B5">
        <v>44244</v>
      </c>
      <c r="C5">
        <v>602</v>
      </c>
      <c r="D5" t="s">
        <v>8</v>
      </c>
      <c r="E5">
        <v>7000</v>
      </c>
      <c r="G5" s="3" t="s">
        <v>0</v>
      </c>
      <c r="K5" s="7" t="s">
        <v>0</v>
      </c>
      <c r="L5" s="7" t="s">
        <v>1</v>
      </c>
      <c r="M5" s="7" t="s">
        <v>1</v>
      </c>
      <c r="O5" s="4" t="s">
        <v>5</v>
      </c>
      <c r="P5" s="4" t="s">
        <v>51</v>
      </c>
      <c r="Q5" s="4" t="s">
        <v>52</v>
      </c>
      <c r="U5" s="7" t="s">
        <v>0</v>
      </c>
      <c r="AA5" s="7" t="s">
        <v>0</v>
      </c>
      <c r="AB5" s="7" t="s">
        <v>3</v>
      </c>
    </row>
    <row r="6" spans="1:42" x14ac:dyDescent="0.35">
      <c r="A6" t="s">
        <v>5</v>
      </c>
      <c r="B6">
        <v>44244</v>
      </c>
      <c r="C6">
        <v>603</v>
      </c>
      <c r="D6" t="s">
        <v>9</v>
      </c>
      <c r="E6">
        <v>4000</v>
      </c>
      <c r="G6" s="4" t="s">
        <v>5</v>
      </c>
      <c r="K6" s="4" t="s">
        <v>5</v>
      </c>
      <c r="L6" s="4" t="s">
        <v>51</v>
      </c>
      <c r="M6" s="4" t="s">
        <v>52</v>
      </c>
      <c r="O6" s="4" t="s">
        <v>13</v>
      </c>
      <c r="P6" s="4" t="s">
        <v>51</v>
      </c>
      <c r="Q6" s="4" t="s">
        <v>52</v>
      </c>
      <c r="U6" s="4" t="s">
        <v>5</v>
      </c>
      <c r="AA6" s="4" t="s">
        <v>5</v>
      </c>
      <c r="AB6" s="8"/>
    </row>
    <row r="7" spans="1:42" x14ac:dyDescent="0.35">
      <c r="A7" t="s">
        <v>5</v>
      </c>
      <c r="B7">
        <v>44245</v>
      </c>
      <c r="C7">
        <v>605</v>
      </c>
      <c r="D7" t="s">
        <v>10</v>
      </c>
      <c r="E7">
        <v>1000</v>
      </c>
      <c r="U7" s="4" t="s">
        <v>13</v>
      </c>
      <c r="AA7" s="4"/>
      <c r="AB7" s="8" t="s">
        <v>59</v>
      </c>
    </row>
    <row r="8" spans="1:42" x14ac:dyDescent="0.35">
      <c r="A8" t="s">
        <v>5</v>
      </c>
      <c r="B8">
        <v>44251</v>
      </c>
      <c r="C8">
        <v>606</v>
      </c>
      <c r="D8" t="s">
        <v>11</v>
      </c>
      <c r="E8">
        <v>6000</v>
      </c>
      <c r="G8" s="19" t="s">
        <v>65</v>
      </c>
      <c r="I8" s="19" t="s">
        <v>65</v>
      </c>
      <c r="J8" s="19" t="s">
        <v>66</v>
      </c>
      <c r="K8" s="19" t="s">
        <v>67</v>
      </c>
      <c r="L8" s="19" t="s">
        <v>68</v>
      </c>
      <c r="M8" s="19" t="s">
        <v>69</v>
      </c>
      <c r="N8" s="22"/>
      <c r="O8" s="19" t="s">
        <v>65</v>
      </c>
      <c r="P8" s="19" t="s">
        <v>66</v>
      </c>
      <c r="Q8" s="19" t="s">
        <v>67</v>
      </c>
      <c r="R8" s="19" t="s">
        <v>68</v>
      </c>
      <c r="S8" s="19" t="s">
        <v>69</v>
      </c>
      <c r="T8" s="22"/>
      <c r="U8" s="19" t="s">
        <v>65</v>
      </c>
      <c r="V8" s="19" t="s">
        <v>66</v>
      </c>
      <c r="W8" s="19" t="s">
        <v>67</v>
      </c>
      <c r="X8" s="19" t="s">
        <v>68</v>
      </c>
      <c r="Y8" s="19" t="s">
        <v>69</v>
      </c>
      <c r="Z8" s="19"/>
      <c r="AA8" s="19" t="s">
        <v>65</v>
      </c>
      <c r="AB8" s="19" t="s">
        <v>66</v>
      </c>
      <c r="AC8" s="19" t="s">
        <v>67</v>
      </c>
      <c r="AD8" s="19" t="s">
        <v>68</v>
      </c>
      <c r="AE8" s="19" t="s">
        <v>69</v>
      </c>
    </row>
    <row r="9" spans="1:42" x14ac:dyDescent="0.35">
      <c r="A9" t="s">
        <v>5</v>
      </c>
      <c r="B9">
        <v>44251</v>
      </c>
      <c r="C9">
        <v>607</v>
      </c>
      <c r="D9" t="s">
        <v>12</v>
      </c>
      <c r="E9">
        <v>6000</v>
      </c>
      <c r="G9" s="21">
        <f>DSUM(Table2[#All],"Amount",$G$5:$G$6)</f>
        <v>102000</v>
      </c>
      <c r="I9" s="23">
        <f>DSUM(Table2[#All],"Amount",$K$5:$M$6)</f>
        <v>38000</v>
      </c>
      <c r="J9" s="23">
        <f>DCOUNT(Table2[#All],"Amount",$K$5:$M$6)</f>
        <v>7</v>
      </c>
      <c r="K9" s="24">
        <f>DAVERAGE(Table2[#All],"Amount",$K$5:$M$6)</f>
        <v>5428.5714285714284</v>
      </c>
      <c r="L9" s="23">
        <f>DMAX(Table2[#All],"Amount",$K$5:$M$6)</f>
        <v>8000</v>
      </c>
      <c r="M9" s="23">
        <f>DMIN(Table2[#All],"Amount",$K$5:$M$6)</f>
        <v>1000</v>
      </c>
      <c r="O9" s="25">
        <f>DSUM(Table2[#All],"Amount",$O$4:$Q$6)</f>
        <v>229150.90000000002</v>
      </c>
      <c r="P9" s="25">
        <f>DCOUNT(Table2[#All],"Amount",$O$4:$Q$6)</f>
        <v>15</v>
      </c>
      <c r="Q9" s="25">
        <f>DAVERAGE(Table2[#All],"Amount",$O$4:$Q$6)</f>
        <v>15276.726666666667</v>
      </c>
      <c r="R9" s="25">
        <f>DMAX(Table2[#All],"Amount",$O$4:$Q$6)</f>
        <v>34970</v>
      </c>
      <c r="S9" s="25">
        <f>DMIN(Table2[#All],"Amount",$O$4:$Q$6)</f>
        <v>1000</v>
      </c>
      <c r="U9" s="25">
        <f>DSUM(Table2[#All],"Amount",$U$5:$U$7)</f>
        <v>322241.80000000005</v>
      </c>
      <c r="V9" s="25">
        <f>DCOUNT(Table2[#All],"Amount",$U$5:$U$7)</f>
        <v>29</v>
      </c>
      <c r="W9" s="25">
        <f>DAVERAGE(Table2[#All],"Amount",$U$5:$U$7)</f>
        <v>11111.786206896553</v>
      </c>
      <c r="X9" s="25">
        <f>DMAX(Table2[#All],"Amount",$U$5:$U$7)</f>
        <v>34970</v>
      </c>
      <c r="Y9" s="25">
        <f>DMIN(Table2[#All],"Amount",$U$5:$U$7)</f>
        <v>1000</v>
      </c>
      <c r="AA9" s="25">
        <f>DSUM(Table2[#All],"Amount",$AA$5:$AB$7)</f>
        <v>1129096.8999999997</v>
      </c>
      <c r="AB9" s="25">
        <f>DCOUNT(Table2[#All],"Amount",$AA$5:$AB$7)</f>
        <v>63</v>
      </c>
      <c r="AC9" s="25">
        <f>DAVERAGE(Table2[#All],"Amount",$AA$5:$AB$7)</f>
        <v>17922.17301587301</v>
      </c>
      <c r="AD9" s="25">
        <f>DMAX(Table2[#All],"Amount",$AA$5:$AB$7)</f>
        <v>84200</v>
      </c>
      <c r="AE9" s="25">
        <f>DMIN(Table2[#All],"Amount",$AA$5:$AB$7)</f>
        <v>126</v>
      </c>
      <c r="AH9" s="1" t="s">
        <v>60</v>
      </c>
      <c r="AN9" s="1" t="s">
        <v>63</v>
      </c>
    </row>
    <row r="10" spans="1:42" x14ac:dyDescent="0.35">
      <c r="A10" t="s">
        <v>13</v>
      </c>
      <c r="B10">
        <v>44215</v>
      </c>
      <c r="C10">
        <v>591</v>
      </c>
      <c r="D10" t="s">
        <v>14</v>
      </c>
      <c r="E10">
        <v>34970</v>
      </c>
      <c r="AH10" s="2" t="s">
        <v>61</v>
      </c>
      <c r="AN10" s="2" t="s">
        <v>64</v>
      </c>
      <c r="AP10" s="2" t="s">
        <v>64</v>
      </c>
    </row>
    <row r="11" spans="1:42" x14ac:dyDescent="0.35">
      <c r="A11" t="s">
        <v>13</v>
      </c>
      <c r="B11">
        <v>44217</v>
      </c>
      <c r="C11">
        <v>596</v>
      </c>
      <c r="D11" t="s">
        <v>15</v>
      </c>
      <c r="E11">
        <v>34545.449999999997</v>
      </c>
      <c r="AH11" s="7" t="s">
        <v>3</v>
      </c>
      <c r="AN11" s="7" t="s">
        <v>2</v>
      </c>
      <c r="AP11" s="7" t="s">
        <v>0</v>
      </c>
    </row>
    <row r="12" spans="1:42" x14ac:dyDescent="0.35">
      <c r="A12" t="s">
        <v>13</v>
      </c>
      <c r="B12">
        <v>44252</v>
      </c>
      <c r="C12">
        <v>592</v>
      </c>
      <c r="D12" t="s">
        <v>16</v>
      </c>
      <c r="E12">
        <v>25196.36</v>
      </c>
      <c r="AH12" s="8" t="s">
        <v>62</v>
      </c>
      <c r="AN12" s="4">
        <v>603</v>
      </c>
      <c r="AP12" s="4" t="s">
        <v>5</v>
      </c>
    </row>
    <row r="13" spans="1:42" x14ac:dyDescent="0.35">
      <c r="A13" t="s">
        <v>13</v>
      </c>
      <c r="B13">
        <v>44255</v>
      </c>
      <c r="C13">
        <v>569</v>
      </c>
      <c r="D13" t="s">
        <v>17</v>
      </c>
      <c r="E13">
        <v>24913.64</v>
      </c>
      <c r="AH13" s="19" t="s">
        <v>65</v>
      </c>
      <c r="AI13" s="19" t="s">
        <v>66</v>
      </c>
      <c r="AJ13" s="19" t="s">
        <v>67</v>
      </c>
      <c r="AK13" s="19" t="s">
        <v>68</v>
      </c>
      <c r="AL13" s="19" t="s">
        <v>69</v>
      </c>
      <c r="AN13" s="19" t="s">
        <v>64</v>
      </c>
      <c r="AP13" s="19" t="s">
        <v>64</v>
      </c>
    </row>
    <row r="14" spans="1:42" x14ac:dyDescent="0.35">
      <c r="A14" t="s">
        <v>13</v>
      </c>
      <c r="B14">
        <v>44255</v>
      </c>
      <c r="C14">
        <v>594</v>
      </c>
      <c r="D14" t="s">
        <v>18</v>
      </c>
      <c r="E14">
        <v>7000</v>
      </c>
      <c r="AH14" s="25">
        <f>DSUM(Table2[#All],5,$AH$11:$AH$12)</f>
        <v>367349.06</v>
      </c>
      <c r="AI14" s="25">
        <f>DCOUNT(Table2[#All],5,$AH$11:$AH$12)</f>
        <v>13</v>
      </c>
      <c r="AJ14" s="25">
        <f>DAVERAGE(Table2[#All],"Amount",$AH$11:$AH$12)</f>
        <v>28257.62</v>
      </c>
      <c r="AK14" s="25">
        <f>DMAX(Table2[#All],"Amount",$AH$11:$AH$12)</f>
        <v>77258.179999999993</v>
      </c>
      <c r="AL14" s="25">
        <f>DMIN(Table2[#All],"Amount",$AH$11:$AH$12)</f>
        <v>649.09</v>
      </c>
      <c r="AN14" s="25">
        <f>DGET(Table2[#All],5,$AN$11:$AN$12)</f>
        <v>4000</v>
      </c>
      <c r="AP14" s="25" t="e">
        <f>DGET(Table2[#All],5,$AP$11:$AP$12)</f>
        <v>#NUM!</v>
      </c>
    </row>
    <row r="15" spans="1:42" x14ac:dyDescent="0.35">
      <c r="A15" t="s">
        <v>13</v>
      </c>
      <c r="B15">
        <v>44265</v>
      </c>
      <c r="C15">
        <v>611</v>
      </c>
      <c r="D15" t="s">
        <v>19</v>
      </c>
      <c r="E15">
        <v>14545.45</v>
      </c>
    </row>
    <row r="16" spans="1:42" x14ac:dyDescent="0.35">
      <c r="A16" t="s">
        <v>13</v>
      </c>
      <c r="B16">
        <v>44276</v>
      </c>
      <c r="C16">
        <v>614</v>
      </c>
      <c r="D16" t="s">
        <v>20</v>
      </c>
      <c r="E16">
        <v>17943.64</v>
      </c>
    </row>
    <row r="17" spans="1:33" ht="15" thickBot="1" x14ac:dyDescent="0.4">
      <c r="A17" t="s">
        <v>13</v>
      </c>
      <c r="B17">
        <v>44286</v>
      </c>
      <c r="C17">
        <v>546</v>
      </c>
      <c r="D17" t="s">
        <v>21</v>
      </c>
      <c r="E17">
        <v>32036.36</v>
      </c>
    </row>
    <row r="18" spans="1:33" ht="16.5" thickBot="1" x14ac:dyDescent="0.4">
      <c r="A18" t="s">
        <v>22</v>
      </c>
      <c r="B18">
        <v>44264</v>
      </c>
      <c r="C18">
        <v>610</v>
      </c>
      <c r="D18" t="s">
        <v>12</v>
      </c>
      <c r="E18">
        <v>84200</v>
      </c>
      <c r="AF18" s="26" t="s">
        <v>94</v>
      </c>
      <c r="AG18" s="26" t="s">
        <v>95</v>
      </c>
    </row>
    <row r="19" spans="1:33" ht="16" x14ac:dyDescent="0.35">
      <c r="A19" t="s">
        <v>23</v>
      </c>
      <c r="B19">
        <v>44265</v>
      </c>
      <c r="C19">
        <v>611</v>
      </c>
      <c r="D19" t="s">
        <v>14</v>
      </c>
      <c r="E19">
        <v>77258.179999999993</v>
      </c>
      <c r="AF19" s="27" t="s">
        <v>96</v>
      </c>
      <c r="AG19" s="28" t="s">
        <v>97</v>
      </c>
    </row>
    <row r="20" spans="1:33" ht="16.5" thickBot="1" x14ac:dyDescent="0.4">
      <c r="A20" t="s">
        <v>24</v>
      </c>
      <c r="B20">
        <v>44241</v>
      </c>
      <c r="C20">
        <v>575</v>
      </c>
      <c r="D20" t="s">
        <v>25</v>
      </c>
      <c r="E20">
        <v>8015.91</v>
      </c>
      <c r="AF20" s="29"/>
      <c r="AG20" s="30" t="s">
        <v>98</v>
      </c>
    </row>
    <row r="21" spans="1:33" ht="16" x14ac:dyDescent="0.35">
      <c r="A21" t="s">
        <v>24</v>
      </c>
      <c r="B21">
        <v>44259</v>
      </c>
      <c r="C21">
        <v>608</v>
      </c>
      <c r="D21" t="s">
        <v>25</v>
      </c>
      <c r="E21">
        <v>27272.73</v>
      </c>
      <c r="AF21" s="27" t="s">
        <v>99</v>
      </c>
      <c r="AG21" s="28" t="s">
        <v>100</v>
      </c>
    </row>
    <row r="22" spans="1:33" ht="16.5" thickBot="1" x14ac:dyDescent="0.4">
      <c r="A22" t="s">
        <v>5</v>
      </c>
      <c r="B22">
        <v>44292</v>
      </c>
      <c r="C22">
        <v>616</v>
      </c>
      <c r="D22" t="s">
        <v>26</v>
      </c>
      <c r="E22">
        <v>6000</v>
      </c>
      <c r="AF22" s="29"/>
      <c r="AG22" s="30" t="s">
        <v>101</v>
      </c>
    </row>
    <row r="23" spans="1:33" ht="16" x14ac:dyDescent="0.35">
      <c r="A23" t="s">
        <v>13</v>
      </c>
      <c r="B23">
        <v>44292</v>
      </c>
      <c r="C23">
        <v>611</v>
      </c>
      <c r="D23" t="s">
        <v>14</v>
      </c>
      <c r="E23">
        <v>14545.45</v>
      </c>
      <c r="AF23" s="27" t="s">
        <v>102</v>
      </c>
      <c r="AG23" s="28" t="s">
        <v>103</v>
      </c>
    </row>
    <row r="24" spans="1:33" ht="16.5" thickBot="1" x14ac:dyDescent="0.4">
      <c r="A24" t="s">
        <v>22</v>
      </c>
      <c r="B24">
        <v>44300</v>
      </c>
      <c r="C24">
        <v>618</v>
      </c>
      <c r="D24" t="s">
        <v>20</v>
      </c>
      <c r="E24">
        <v>36533.64</v>
      </c>
      <c r="AF24" s="29"/>
      <c r="AG24" s="30" t="s">
        <v>104</v>
      </c>
    </row>
    <row r="25" spans="1:33" x14ac:dyDescent="0.35">
      <c r="A25" t="s">
        <v>22</v>
      </c>
      <c r="B25">
        <v>44310</v>
      </c>
      <c r="C25">
        <v>621</v>
      </c>
      <c r="D25" t="s">
        <v>27</v>
      </c>
      <c r="E25">
        <v>46845.45</v>
      </c>
    </row>
    <row r="26" spans="1:33" x14ac:dyDescent="0.35">
      <c r="A26" t="s">
        <v>23</v>
      </c>
      <c r="B26">
        <v>44292</v>
      </c>
      <c r="C26">
        <v>611</v>
      </c>
      <c r="D26" t="s">
        <v>18</v>
      </c>
      <c r="E26">
        <v>77258.179999999993</v>
      </c>
    </row>
    <row r="27" spans="1:33" x14ac:dyDescent="0.35">
      <c r="A27" t="s">
        <v>23</v>
      </c>
      <c r="B27">
        <v>44293</v>
      </c>
      <c r="C27">
        <v>617</v>
      </c>
      <c r="D27" t="s">
        <v>12</v>
      </c>
      <c r="E27">
        <v>20719.09</v>
      </c>
    </row>
    <row r="28" spans="1:33" x14ac:dyDescent="0.35">
      <c r="A28" t="s">
        <v>23</v>
      </c>
      <c r="B28">
        <v>44298</v>
      </c>
      <c r="C28">
        <v>612</v>
      </c>
      <c r="D28" t="s">
        <v>15</v>
      </c>
      <c r="E28">
        <v>12869.09</v>
      </c>
    </row>
    <row r="29" spans="1:33" x14ac:dyDescent="0.35">
      <c r="A29" t="s">
        <v>28</v>
      </c>
      <c r="B29">
        <v>44340</v>
      </c>
      <c r="C29">
        <v>630</v>
      </c>
      <c r="D29" t="s">
        <v>29</v>
      </c>
      <c r="E29">
        <v>1000</v>
      </c>
    </row>
    <row r="30" spans="1:33" x14ac:dyDescent="0.35">
      <c r="A30" t="s">
        <v>28</v>
      </c>
      <c r="B30">
        <v>44346</v>
      </c>
      <c r="C30">
        <v>630</v>
      </c>
      <c r="D30" t="s">
        <v>29</v>
      </c>
      <c r="E30">
        <v>1000</v>
      </c>
    </row>
    <row r="31" spans="1:33" x14ac:dyDescent="0.35">
      <c r="A31" t="s">
        <v>28</v>
      </c>
      <c r="B31">
        <v>44346</v>
      </c>
      <c r="C31">
        <v>632</v>
      </c>
      <c r="D31" t="s">
        <v>30</v>
      </c>
      <c r="E31">
        <v>1000</v>
      </c>
    </row>
    <row r="32" spans="1:33" x14ac:dyDescent="0.35">
      <c r="A32" t="s">
        <v>5</v>
      </c>
      <c r="B32">
        <v>44326</v>
      </c>
      <c r="C32">
        <v>623</v>
      </c>
      <c r="D32" t="s">
        <v>31</v>
      </c>
      <c r="E32">
        <v>7000</v>
      </c>
    </row>
    <row r="33" spans="1:5" x14ac:dyDescent="0.35">
      <c r="A33" t="s">
        <v>5</v>
      </c>
      <c r="B33">
        <v>44327</v>
      </c>
      <c r="C33">
        <v>623</v>
      </c>
      <c r="D33" t="s">
        <v>31</v>
      </c>
      <c r="E33">
        <v>7000</v>
      </c>
    </row>
    <row r="34" spans="1:5" x14ac:dyDescent="0.35">
      <c r="A34" t="s">
        <v>5</v>
      </c>
      <c r="B34">
        <v>44340</v>
      </c>
      <c r="C34">
        <v>630</v>
      </c>
      <c r="D34" t="s">
        <v>29</v>
      </c>
      <c r="E34">
        <v>5000</v>
      </c>
    </row>
    <row r="35" spans="1:5" x14ac:dyDescent="0.35">
      <c r="A35" t="s">
        <v>5</v>
      </c>
      <c r="B35">
        <v>44346</v>
      </c>
      <c r="C35">
        <v>630</v>
      </c>
      <c r="D35" t="s">
        <v>29</v>
      </c>
      <c r="E35">
        <v>5000</v>
      </c>
    </row>
    <row r="36" spans="1:5" x14ac:dyDescent="0.35">
      <c r="A36" t="s">
        <v>13</v>
      </c>
      <c r="B36">
        <v>44325</v>
      </c>
      <c r="C36">
        <v>611</v>
      </c>
      <c r="D36" t="s">
        <v>18</v>
      </c>
      <c r="E36">
        <v>14545.45</v>
      </c>
    </row>
    <row r="37" spans="1:5" x14ac:dyDescent="0.35">
      <c r="A37" t="s">
        <v>23</v>
      </c>
      <c r="B37">
        <v>44325</v>
      </c>
      <c r="C37">
        <v>611</v>
      </c>
      <c r="D37" t="s">
        <v>18</v>
      </c>
      <c r="E37">
        <v>77258.179999999993</v>
      </c>
    </row>
    <row r="38" spans="1:5" x14ac:dyDescent="0.35">
      <c r="A38" t="s">
        <v>23</v>
      </c>
      <c r="B38">
        <v>44335</v>
      </c>
      <c r="C38">
        <v>627</v>
      </c>
      <c r="D38" t="s">
        <v>20</v>
      </c>
      <c r="E38">
        <v>10023.64</v>
      </c>
    </row>
    <row r="39" spans="1:5" x14ac:dyDescent="0.35">
      <c r="A39" t="s">
        <v>23</v>
      </c>
      <c r="B39">
        <v>44336</v>
      </c>
      <c r="C39">
        <v>627</v>
      </c>
      <c r="D39" t="s">
        <v>20</v>
      </c>
      <c r="E39">
        <v>10023.64</v>
      </c>
    </row>
    <row r="40" spans="1:5" x14ac:dyDescent="0.35">
      <c r="A40" t="s">
        <v>23</v>
      </c>
      <c r="B40">
        <v>44340</v>
      </c>
      <c r="C40">
        <v>626</v>
      </c>
      <c r="D40" t="s">
        <v>21</v>
      </c>
      <c r="E40">
        <v>11909.09</v>
      </c>
    </row>
    <row r="41" spans="1:5" x14ac:dyDescent="0.35">
      <c r="A41" t="s">
        <v>23</v>
      </c>
      <c r="B41">
        <v>44343</v>
      </c>
      <c r="C41">
        <v>625</v>
      </c>
      <c r="D41" t="s">
        <v>16</v>
      </c>
      <c r="E41">
        <v>18946.36</v>
      </c>
    </row>
    <row r="42" spans="1:5" x14ac:dyDescent="0.35">
      <c r="A42" t="s">
        <v>32</v>
      </c>
      <c r="B42">
        <v>44339</v>
      </c>
      <c r="C42">
        <v>628</v>
      </c>
      <c r="D42" t="s">
        <v>33</v>
      </c>
      <c r="E42">
        <v>707.27</v>
      </c>
    </row>
    <row r="43" spans="1:5" x14ac:dyDescent="0.35">
      <c r="A43" t="s">
        <v>32</v>
      </c>
      <c r="B43">
        <v>44339</v>
      </c>
      <c r="C43">
        <v>629</v>
      </c>
      <c r="D43" t="s">
        <v>27</v>
      </c>
      <c r="E43">
        <v>126</v>
      </c>
    </row>
    <row r="44" spans="1:5" x14ac:dyDescent="0.35">
      <c r="A44" t="s">
        <v>24</v>
      </c>
      <c r="B44">
        <v>44318</v>
      </c>
      <c r="C44">
        <v>608</v>
      </c>
      <c r="D44" t="s">
        <v>33</v>
      </c>
      <c r="E44">
        <v>27272.73</v>
      </c>
    </row>
    <row r="45" spans="1:5" x14ac:dyDescent="0.35">
      <c r="A45" t="s">
        <v>24</v>
      </c>
      <c r="B45">
        <v>44334</v>
      </c>
      <c r="C45">
        <v>586</v>
      </c>
      <c r="D45" t="s">
        <v>34</v>
      </c>
      <c r="E45">
        <v>18181.82</v>
      </c>
    </row>
    <row r="46" spans="1:5" x14ac:dyDescent="0.35">
      <c r="A46" t="s">
        <v>24</v>
      </c>
      <c r="B46">
        <v>44335</v>
      </c>
      <c r="C46">
        <v>586</v>
      </c>
      <c r="D46" t="s">
        <v>34</v>
      </c>
      <c r="E46">
        <v>18181.82</v>
      </c>
    </row>
    <row r="47" spans="1:5" x14ac:dyDescent="0.35">
      <c r="A47" t="s">
        <v>24</v>
      </c>
      <c r="B47">
        <v>44339</v>
      </c>
      <c r="C47">
        <v>608</v>
      </c>
      <c r="D47" t="s">
        <v>33</v>
      </c>
      <c r="E47">
        <v>27272.73</v>
      </c>
    </row>
    <row r="48" spans="1:5" x14ac:dyDescent="0.35">
      <c r="A48" t="s">
        <v>24</v>
      </c>
      <c r="B48">
        <v>44340</v>
      </c>
      <c r="C48">
        <v>631</v>
      </c>
      <c r="D48" t="s">
        <v>35</v>
      </c>
      <c r="E48">
        <v>5000</v>
      </c>
    </row>
    <row r="49" spans="1:5" x14ac:dyDescent="0.35">
      <c r="A49" t="s">
        <v>24</v>
      </c>
      <c r="B49">
        <v>44342</v>
      </c>
      <c r="C49">
        <v>586</v>
      </c>
      <c r="D49" t="s">
        <v>36</v>
      </c>
      <c r="E49">
        <v>18181.82</v>
      </c>
    </row>
    <row r="50" spans="1:5" x14ac:dyDescent="0.35">
      <c r="A50" t="s">
        <v>5</v>
      </c>
      <c r="B50">
        <v>44389</v>
      </c>
      <c r="C50">
        <v>653</v>
      </c>
      <c r="D50" t="s">
        <v>37</v>
      </c>
      <c r="E50">
        <v>6000</v>
      </c>
    </row>
    <row r="51" spans="1:5" x14ac:dyDescent="0.35">
      <c r="A51" t="s">
        <v>5</v>
      </c>
      <c r="B51">
        <v>44399</v>
      </c>
      <c r="C51">
        <v>658</v>
      </c>
      <c r="D51" t="s">
        <v>38</v>
      </c>
      <c r="E51">
        <v>6000</v>
      </c>
    </row>
    <row r="52" spans="1:5" x14ac:dyDescent="0.35">
      <c r="A52" t="s">
        <v>5</v>
      </c>
      <c r="B52">
        <v>44402</v>
      </c>
      <c r="C52">
        <v>658</v>
      </c>
      <c r="D52" t="s">
        <v>38</v>
      </c>
      <c r="E52">
        <v>6000</v>
      </c>
    </row>
    <row r="53" spans="1:5" x14ac:dyDescent="0.35">
      <c r="A53" t="s">
        <v>23</v>
      </c>
      <c r="B53">
        <v>44397</v>
      </c>
      <c r="C53">
        <v>654</v>
      </c>
      <c r="D53" t="s">
        <v>39</v>
      </c>
      <c r="E53">
        <v>9711.82</v>
      </c>
    </row>
    <row r="54" spans="1:5" x14ac:dyDescent="0.35">
      <c r="A54" t="s">
        <v>32</v>
      </c>
      <c r="B54">
        <v>44382</v>
      </c>
      <c r="C54">
        <v>646</v>
      </c>
      <c r="D54" t="s">
        <v>40</v>
      </c>
      <c r="E54">
        <v>2660</v>
      </c>
    </row>
    <row r="55" spans="1:5" x14ac:dyDescent="0.35">
      <c r="A55" t="s">
        <v>32</v>
      </c>
      <c r="B55">
        <v>44397</v>
      </c>
      <c r="C55">
        <v>657</v>
      </c>
      <c r="D55" t="s">
        <v>19</v>
      </c>
      <c r="E55">
        <v>2516.36</v>
      </c>
    </row>
    <row r="56" spans="1:5" x14ac:dyDescent="0.35">
      <c r="A56" t="s">
        <v>32</v>
      </c>
      <c r="B56">
        <v>44397</v>
      </c>
      <c r="C56">
        <v>657</v>
      </c>
      <c r="D56" t="s">
        <v>19</v>
      </c>
      <c r="E56">
        <v>649.09</v>
      </c>
    </row>
    <row r="57" spans="1:5" x14ac:dyDescent="0.35">
      <c r="A57" t="s">
        <v>41</v>
      </c>
      <c r="B57">
        <v>44397</v>
      </c>
      <c r="C57">
        <v>652</v>
      </c>
      <c r="D57" t="s">
        <v>35</v>
      </c>
      <c r="E57">
        <v>35201.82</v>
      </c>
    </row>
    <row r="58" spans="1:5" x14ac:dyDescent="0.35">
      <c r="A58" t="s">
        <v>41</v>
      </c>
      <c r="B58">
        <v>44399</v>
      </c>
      <c r="C58">
        <v>652</v>
      </c>
      <c r="D58" t="s">
        <v>35</v>
      </c>
      <c r="E58">
        <v>35201.82</v>
      </c>
    </row>
    <row r="59" spans="1:5" x14ac:dyDescent="0.35">
      <c r="A59" t="s">
        <v>41</v>
      </c>
      <c r="B59">
        <v>44403</v>
      </c>
      <c r="C59">
        <v>652</v>
      </c>
      <c r="D59" t="s">
        <v>35</v>
      </c>
      <c r="E59">
        <v>35201.82</v>
      </c>
    </row>
    <row r="60" spans="1:5" x14ac:dyDescent="0.35">
      <c r="A60" t="s">
        <v>42</v>
      </c>
      <c r="B60">
        <v>44383</v>
      </c>
      <c r="C60">
        <v>648</v>
      </c>
      <c r="D60" t="s">
        <v>36</v>
      </c>
      <c r="E60">
        <v>18181.82</v>
      </c>
    </row>
    <row r="61" spans="1:5" x14ac:dyDescent="0.35">
      <c r="A61" t="s">
        <v>42</v>
      </c>
      <c r="B61">
        <v>44402</v>
      </c>
      <c r="C61">
        <v>659</v>
      </c>
      <c r="D61" t="s">
        <v>7</v>
      </c>
      <c r="E61">
        <v>10909.09</v>
      </c>
    </row>
    <row r="62" spans="1:5" x14ac:dyDescent="0.35">
      <c r="A62" t="s">
        <v>28</v>
      </c>
      <c r="B62">
        <v>44355</v>
      </c>
      <c r="C62">
        <v>630</v>
      </c>
      <c r="D62" t="s">
        <v>29</v>
      </c>
      <c r="E62">
        <v>1000</v>
      </c>
    </row>
    <row r="63" spans="1:5" x14ac:dyDescent="0.35">
      <c r="A63" t="s">
        <v>5</v>
      </c>
      <c r="B63">
        <v>44355</v>
      </c>
      <c r="C63">
        <v>630</v>
      </c>
      <c r="D63" t="s">
        <v>29</v>
      </c>
      <c r="E63">
        <v>5000</v>
      </c>
    </row>
    <row r="64" spans="1:5" x14ac:dyDescent="0.35">
      <c r="A64" t="s">
        <v>5</v>
      </c>
      <c r="B64">
        <v>44364</v>
      </c>
      <c r="C64">
        <v>636</v>
      </c>
      <c r="D64" t="s">
        <v>43</v>
      </c>
      <c r="E64">
        <v>4000</v>
      </c>
    </row>
    <row r="65" spans="1:5" x14ac:dyDescent="0.35">
      <c r="A65" t="s">
        <v>5</v>
      </c>
      <c r="B65">
        <v>44367</v>
      </c>
      <c r="C65">
        <v>642</v>
      </c>
      <c r="D65" t="s">
        <v>44</v>
      </c>
      <c r="E65">
        <v>2000</v>
      </c>
    </row>
    <row r="66" spans="1:5" x14ac:dyDescent="0.35">
      <c r="A66" t="s">
        <v>5</v>
      </c>
      <c r="B66">
        <v>44370</v>
      </c>
      <c r="C66">
        <v>643</v>
      </c>
      <c r="D66" t="s">
        <v>44</v>
      </c>
      <c r="E66">
        <v>5000</v>
      </c>
    </row>
    <row r="67" spans="1:5" x14ac:dyDescent="0.35">
      <c r="A67" t="s">
        <v>32</v>
      </c>
      <c r="B67">
        <v>44356</v>
      </c>
      <c r="C67">
        <v>633</v>
      </c>
      <c r="D67" t="s">
        <v>45</v>
      </c>
      <c r="E67">
        <v>655</v>
      </c>
    </row>
    <row r="68" spans="1:5" x14ac:dyDescent="0.35">
      <c r="A68" t="s">
        <v>42</v>
      </c>
      <c r="B68">
        <v>44362</v>
      </c>
      <c r="C68">
        <v>635</v>
      </c>
      <c r="D68" t="s">
        <v>36</v>
      </c>
      <c r="E68">
        <v>20909.09</v>
      </c>
    </row>
  </sheetData>
  <mergeCells count="3">
    <mergeCell ref="AF19:AF20"/>
    <mergeCell ref="AF21:AF22"/>
    <mergeCell ref="AF23:AF24"/>
  </mergeCells>
  <dataValidations count="1">
    <dataValidation type="list" allowBlank="1" showInputMessage="1" showErrorMessage="1" sqref="G6" xr:uid="{ABE6BBB6-84D1-4766-A4E8-36AB058765A3}">
      <formula1>"Level 1,Level 2,Level 3,Level 4,Level 5,Level 6,Level 7,Level 8,Level 9"</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 Functions</vt:lpstr>
      <vt:lpstr>Data</vt:lpstr>
      <vt:lpstr>Pivot_1</vt:lpstr>
      <vt:lpstr>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Upadhyay</dc:creator>
  <cp:lastModifiedBy>Aditya Upadhyay</cp:lastModifiedBy>
  <dcterms:created xsi:type="dcterms:W3CDTF">2026-05-03T13:56:53Z</dcterms:created>
  <dcterms:modified xsi:type="dcterms:W3CDTF">2026-05-03T16:40:18Z</dcterms:modified>
</cp:coreProperties>
</file>